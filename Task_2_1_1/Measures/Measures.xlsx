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Обзор экспорта" sheetId="1" r:id="rId4"/>
    <sheet name="BigSizeBigData" sheetId="2" r:id="rId5"/>
    <sheet name="BigSizeSmallData" sheetId="3" r:id="rId6"/>
    <sheet name="SmallSizeBigData" sheetId="4" r:id="rId7"/>
    <sheet name="SmallSizeSmallData" sheetId="5" r:id="rId8"/>
  </sheets>
</workbook>
</file>

<file path=xl/sharedStrings.xml><?xml version="1.0" encoding="utf-8"?>
<sst xmlns="http://schemas.openxmlformats.org/spreadsheetml/2006/main" uniqueCount="33">
  <si>
    <t>Документ был экспортирован из Numbers. Каждая таблица была конвертирована в лист Excel. Все другие объекты на листах Numbers были помещены на отдельные листы. Имейте в виду, что расчеты формул могут отличаться от расчетов в Excel.</t>
  </si>
  <si>
    <t>Название листа Numbers</t>
  </si>
  <si>
    <t>Название таблицы Numbers</t>
  </si>
  <si>
    <t>Название листа Excel</t>
  </si>
  <si>
    <t>BigSizeBigData</t>
  </si>
  <si>
    <t>Tаблица 1</t>
  </si>
  <si>
    <t>Сумма</t>
  </si>
  <si>
    <t>Среднее</t>
  </si>
  <si>
    <t>(X1-Xср)^2</t>
  </si>
  <si>
    <t>(X2-Xср)^2</t>
  </si>
  <si>
    <t>(X3-Xср)^2</t>
  </si>
  <si>
    <t>(X4-Xср)^2</t>
  </si>
  <si>
    <t>(X5-Xср)^2</t>
  </si>
  <si>
    <t>(X6-Xср)^2</t>
  </si>
  <si>
    <t>(X7-Xср)^2</t>
  </si>
  <si>
    <t>(X8-Xср)^2</t>
  </si>
  <si>
    <t>(X9-Xср)^2</t>
  </si>
  <si>
    <t>(X10-Xср)^2</t>
  </si>
  <si>
    <t>Стандартное отклонение</t>
  </si>
  <si>
    <t>Дов. Интервал сверху</t>
  </si>
  <si>
    <t>Дов. Интервал снизу</t>
  </si>
  <si>
    <t>Дельта интервал</t>
  </si>
  <si>
    <t>Sequential</t>
  </si>
  <si>
    <t>Threads 2</t>
  </si>
  <si>
    <t>Threads 4</t>
  </si>
  <si>
    <t>Threads 8</t>
  </si>
  <si>
    <t>Threads 16</t>
  </si>
  <si>
    <t>Threads 32</t>
  </si>
  <si>
    <t>Ps</t>
  </si>
  <si>
    <t>Коэффициент Стьюдента для N=10 и 95%</t>
  </si>
  <si>
    <t>BigSizeSmallData</t>
  </si>
  <si>
    <t>SmallSizeBigData</t>
  </si>
  <si>
    <t>SmallSizeSmallData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</si>
</sst>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0.000000"/>
  </numFmts>
  <fonts count="6">
    <font>
      <sz val="10"/>
      <color indexed="8"/>
      <name val="Helvetica Neue"/>
    </font>
    <font>
      <sz val="12"/>
      <color indexed="8"/>
      <name val="Helvetica Neue"/>
    </font>
    <font>
      <sz val="14"/>
      <color indexed="8"/>
      <name val="Helvetica Neue"/>
    </font>
    <font>
      <u val="single"/>
      <sz val="12"/>
      <color indexed="11"/>
      <name val="Helvetica Neue"/>
    </font>
    <font>
      <b val="1"/>
      <sz val="10"/>
      <color indexed="8"/>
      <name val="Helvetica Neue"/>
    </font>
    <font>
      <b val="1"/>
      <sz val="12"/>
      <color indexed="8"/>
      <name val="Helvetica Neue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</fills>
  <borders count="8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4"/>
      </right>
      <top style="thin">
        <color indexed="13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6">
    <xf numFmtId="0" fontId="0" applyNumberFormat="0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left" vertical="top" wrapText="1"/>
    </xf>
    <xf numFmtId="0" fontId="2" applyNumberFormat="0" applyFont="1" applyFill="0" applyBorder="0" applyAlignment="1" applyProtection="0">
      <alignment horizontal="left" vertical="top" wrapText="1"/>
    </xf>
    <xf numFmtId="0" fontId="1" fillId="2" applyNumberFormat="0" applyFont="1" applyFill="1" applyBorder="0" applyAlignment="1" applyProtection="0">
      <alignment horizontal="left" vertical="top" wrapText="1"/>
    </xf>
    <xf numFmtId="0" fontId="1" fillId="3" applyNumberFormat="0" applyFont="1" applyFill="1" applyBorder="0" applyAlignment="1" applyProtection="0">
      <alignment horizontal="left" vertical="top" wrapText="1"/>
    </xf>
    <xf numFmtId="0" fontId="3" fillId="3" applyNumberFormat="0" applyFont="1" applyFill="1" applyBorder="0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4" fillId="4" borderId="1" applyNumberFormat="0" applyFont="1" applyFill="1" applyBorder="1" applyAlignment="1" applyProtection="0">
      <alignment vertical="top" wrapText="1"/>
    </xf>
    <xf numFmtId="0" fontId="4" fillId="4" borderId="1" applyNumberFormat="1" applyFont="1" applyFill="1" applyBorder="1" applyAlignment="1" applyProtection="0">
      <alignment vertical="top" wrapText="1"/>
    </xf>
    <xf numFmtId="49" fontId="4" fillId="4" borderId="1" applyNumberFormat="1" applyFont="1" applyFill="1" applyBorder="1" applyAlignment="1" applyProtection="0">
      <alignment horizontal="center" vertical="top" wrapText="1"/>
    </xf>
    <xf numFmtId="49" fontId="4" fillId="5" borderId="2" applyNumberFormat="1" applyFont="1" applyFill="1" applyBorder="1" applyAlignment="1" applyProtection="0">
      <alignment vertical="top" wrapText="1"/>
    </xf>
    <xf numFmtId="0" fontId="0" borderId="3" applyNumberFormat="1" applyFont="1" applyFill="0" applyBorder="1" applyAlignment="1" applyProtection="0">
      <alignment vertical="top" wrapText="1"/>
    </xf>
    <xf numFmtId="0" fontId="0" borderId="4" applyNumberFormat="1" applyFont="1" applyFill="0" applyBorder="1" applyAlignment="1" applyProtection="0">
      <alignment vertical="top" wrapText="1"/>
    </xf>
    <xf numFmtId="49" fontId="4" fillId="5" borderId="5" applyNumberFormat="1" applyFont="1" applyFill="1" applyBorder="1" applyAlignment="1" applyProtection="0">
      <alignment vertical="top" wrapText="1"/>
    </xf>
    <xf numFmtId="0" fontId="0" borderId="6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  <xf numFmtId="0" fontId="4" fillId="5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horizontal="center" vertical="center" wrapText="1"/>
    </xf>
    <xf numFmtId="0" fontId="0" borderId="7" applyNumberFormat="0" applyFont="1" applyFill="0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bdc0bf"/>
      <rgbColor rgb="ffa5a5a5"/>
      <rgbColor rgb="ff3f3f3f"/>
      <rgbColor rgb="ffdbdbdb"/>
      <rgbColor rgb="ffb8b8b8"/>
      <rgbColor rgb="fffefff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773512"/>
          <c:y val="0.12368"/>
          <c:w val="0.853866"/>
          <c:h val="0.810337"/>
        </c:manualLayout>
      </c:layout>
      <c:lineChart>
        <c:grouping val="standard"/>
        <c:varyColors val="0"/>
        <c:ser>
          <c:idx val="0"/>
          <c:order val="0"/>
          <c:tx>
            <c:strRef>
              <c:f>'BigSizeBigData'!$M$2</c:f>
              <c:strCache>
                <c:ptCount val="1"/>
                <c:pt idx="0">
                  <c:v>Среднее</c:v>
                </c:pt>
              </c:strCache>
            </c:strRef>
          </c:tx>
          <c:spPr>
            <a:solidFill>
              <a:srgbClr val="FFFFFF"/>
            </a:solidFill>
            <a:ln w="50800" cap="flat">
              <a:solidFill>
                <a:schemeClr val="accent1">
                  <a:lumOff val="16847"/>
                </a:schemeClr>
              </a:solidFill>
              <a:prstDash val="solid"/>
              <a:miter lim="400000"/>
            </a:ln>
            <a:effectLst/>
          </c:spPr>
          <c:marker>
            <c:symbol val="none"/>
            <c:size val="4"/>
            <c:spPr>
              <a:solidFill>
                <a:srgbClr val="FFFFFF"/>
              </a:solidFill>
              <a:ln w="50800" cap="flat">
                <a:solidFill>
                  <a:schemeClr val="accent1">
                    <a:lumOff val="16847"/>
                  </a:schemeClr>
                </a:solidFill>
                <a:prstDash val="solid"/>
                <a:miter lim="400000"/>
              </a:ln>
              <a:effectLst/>
            </c:spPr>
          </c:marker>
          <c:dLbls>
            <c:numFmt formatCode="0.000000" sourceLinked="1"/>
            <c:txPr>
              <a:bodyPr/>
              <a:lstStyle/>
              <a:p>
                <a:pPr>
                  <a:defRPr b="1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errBars>
            <c:errBarType val="both"/>
            <c:errValType val="cust"/>
            <c:noEndCap val="0"/>
            <c:plus>
              <c:numRef>
                <c:f>'BigSizeBigData'!$AA$3:$AA$9</c:f>
                <c:numCache>
                  <c:ptCount val="7"/>
                  <c:pt idx="0">
                    <c:v>0.087260</c:v>
                  </c:pt>
                  <c:pt idx="1">
                    <c:v>0.043592</c:v>
                  </c:pt>
                  <c:pt idx="2">
                    <c:v>0.097266</c:v>
                  </c:pt>
                  <c:pt idx="3">
                    <c:v>0.050033</c:v>
                  </c:pt>
                  <c:pt idx="4">
                    <c:v>0.075354</c:v>
                  </c:pt>
                  <c:pt idx="5">
                    <c:v>0.056543</c:v>
                  </c:pt>
                  <c:pt idx="6">
                    <c:v>0.067937</c:v>
                  </c:pt>
                </c:numCache>
              </c:numRef>
            </c:plus>
            <c:minus>
              <c:numRef>
                <c:f>'BigSizeBigData'!$AA$3:$AA$9</c:f>
                <c:numCache>
                  <c:ptCount val="7"/>
                  <c:pt idx="0">
                    <c:v>0.087260</c:v>
                  </c:pt>
                  <c:pt idx="1">
                    <c:v>0.043592</c:v>
                  </c:pt>
                  <c:pt idx="2">
                    <c:v>0.097266</c:v>
                  </c:pt>
                  <c:pt idx="3">
                    <c:v>0.050033</c:v>
                  </c:pt>
                  <c:pt idx="4">
                    <c:v>0.075354</c:v>
                  </c:pt>
                  <c:pt idx="5">
                    <c:v>0.056543</c:v>
                  </c:pt>
                  <c:pt idx="6">
                    <c:v>0.067937</c:v>
                  </c:pt>
                </c:numCache>
              </c:numRef>
            </c:minus>
            <c:val val="0"/>
            <c:spPr>
              <a:noFill/>
              <a:ln w="12700" cap="flat">
                <a:solidFill>
                  <a:srgbClr val="000000"/>
                </a:solidFill>
                <a:prstDash val="solid"/>
                <a:miter lim="400000"/>
              </a:ln>
              <a:effectLst/>
            </c:spPr>
          </c:errBars>
          <c:cat>
            <c:strRef>
              <c:f>'SmallSizeSmallData'!$A$3:$A$11</c:f>
              <c:strCache>
                <c:ptCount val="7"/>
                <c:pt idx="0">
                  <c:v>Sequential</c:v>
                </c:pt>
                <c:pt idx="1">
                  <c:v>Threads 2</c:v>
                </c:pt>
                <c:pt idx="2">
                  <c:v>Threads 4</c:v>
                </c:pt>
                <c:pt idx="3">
                  <c:v>Threads 8</c:v>
                </c:pt>
                <c:pt idx="4">
                  <c:v>Threads 16</c:v>
                </c:pt>
                <c:pt idx="5">
                  <c:v>Threads 32</c:v>
                </c:pt>
                <c:pt idx="6">
                  <c:v>Ps</c:v>
                </c:pt>
              </c:strCache>
            </c:strRef>
          </c:cat>
          <c:val>
            <c:numRef>
              <c:f>'BigSizeBigData'!$M$3:$M$9</c:f>
              <c:numCache>
                <c:ptCount val="7"/>
                <c:pt idx="0">
                  <c:v>10.178491</c:v>
                </c:pt>
                <c:pt idx="1">
                  <c:v>5.205080</c:v>
                </c:pt>
                <c:pt idx="2">
                  <c:v>2.783614</c:v>
                </c:pt>
                <c:pt idx="3">
                  <c:v>2.520870</c:v>
                </c:pt>
                <c:pt idx="4">
                  <c:v>2.462868</c:v>
                </c:pt>
                <c:pt idx="5">
                  <c:v>2.467032</c:v>
                </c:pt>
                <c:pt idx="6">
                  <c:v>2.505925</c:v>
                </c:pt>
              </c:numCache>
            </c:numRef>
          </c:val>
          <c:smooth val="0"/>
        </c:ser>
        <c:marker val="1"/>
        <c:axId val="2094734552"/>
        <c:axId val="2094734553"/>
      </c:lineChart>
      <c:catAx>
        <c:axId val="2094734552"/>
        <c:scaling>
          <c:orientation val="minMax"/>
        </c:scaling>
        <c:delete val="0"/>
        <c:axPos val="b"/>
        <c:numFmt formatCode="0.000000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0.000000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2.75"/>
        <c:minorUnit val="1.375"/>
      </c:valAx>
      <c:spPr>
        <a:noFill/>
        <a:ln w="12700" cap="flat">
          <a:noFill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112773"/>
          <c:y val="0"/>
          <c:w val="0.843578"/>
          <c:h val="0.0640667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711986"/>
          <c:y val="0.12368"/>
          <c:w val="0.85956"/>
          <c:h val="0.810337"/>
        </c:manualLayout>
      </c:layout>
      <c:lineChart>
        <c:grouping val="standard"/>
        <c:varyColors val="0"/>
        <c:ser>
          <c:idx val="0"/>
          <c:order val="0"/>
          <c:tx>
            <c:strRef>
              <c:f>'BigSizeSmallData'!$M$2</c:f>
              <c:strCache>
                <c:ptCount val="1"/>
                <c:pt idx="0">
                  <c:v>Среднее</c:v>
                </c:pt>
              </c:strCache>
            </c:strRef>
          </c:tx>
          <c:spPr>
            <a:solidFill>
              <a:srgbClr val="FFFFFF"/>
            </a:solidFill>
            <a:ln w="50800" cap="flat">
              <a:solidFill>
                <a:schemeClr val="accent1"/>
              </a:solidFill>
              <a:prstDash val="solid"/>
              <a:miter lim="400000"/>
            </a:ln>
            <a:effectLst/>
          </c:spPr>
          <c:marker>
            <c:symbol val="none"/>
            <c:size val="4"/>
            <c:spPr>
              <a:solidFill>
                <a:srgbClr val="FFFFFF"/>
              </a:solidFill>
              <a:ln w="50800" cap="flat">
                <a:solidFill>
                  <a:schemeClr val="accent1"/>
                </a:solidFill>
                <a:prstDash val="solid"/>
                <a:miter lim="400000"/>
              </a:ln>
              <a:effectLst/>
            </c:spPr>
          </c:marker>
          <c:dLbls>
            <c:numFmt formatCode="0.000000" sourceLinked="1"/>
            <c:txPr>
              <a:bodyPr/>
              <a:lstStyle/>
              <a:p>
                <a:pPr>
                  <a:defRPr b="1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errBars>
            <c:errBarType val="both"/>
            <c:errValType val="cust"/>
            <c:noEndCap val="0"/>
            <c:plus>
              <c:numRef>
                <c:f>'BigSizeSmallData'!$AA$3:$AA$9</c:f>
                <c:numCache>
                  <c:ptCount val="7"/>
                  <c:pt idx="0">
                    <c:v>0.002109</c:v>
                  </c:pt>
                  <c:pt idx="1">
                    <c:v>0.001699</c:v>
                  </c:pt>
                  <c:pt idx="2">
                    <c:v>0.002309</c:v>
                  </c:pt>
                  <c:pt idx="3">
                    <c:v>0.001282</c:v>
                  </c:pt>
                  <c:pt idx="4">
                    <c:v>0.001826</c:v>
                  </c:pt>
                  <c:pt idx="5">
                    <c:v>0.000683</c:v>
                  </c:pt>
                  <c:pt idx="6">
                    <c:v>0.002718</c:v>
                  </c:pt>
                </c:numCache>
              </c:numRef>
            </c:plus>
            <c:minus>
              <c:numRef>
                <c:f>'BigSizeSmallData'!$AA$3:$AA$9</c:f>
                <c:numCache>
                  <c:ptCount val="7"/>
                  <c:pt idx="0">
                    <c:v>0.002109</c:v>
                  </c:pt>
                  <c:pt idx="1">
                    <c:v>0.001699</c:v>
                  </c:pt>
                  <c:pt idx="2">
                    <c:v>0.002309</c:v>
                  </c:pt>
                  <c:pt idx="3">
                    <c:v>0.001282</c:v>
                  </c:pt>
                  <c:pt idx="4">
                    <c:v>0.001826</c:v>
                  </c:pt>
                  <c:pt idx="5">
                    <c:v>0.000683</c:v>
                  </c:pt>
                  <c:pt idx="6">
                    <c:v>0.002718</c:v>
                  </c:pt>
                </c:numCache>
              </c:numRef>
            </c:minus>
            <c:val val="0"/>
            <c:spPr>
              <a:noFill/>
              <a:ln w="12700" cap="flat">
                <a:solidFill>
                  <a:srgbClr val="000000"/>
                </a:solidFill>
                <a:prstDash val="solid"/>
                <a:miter lim="400000"/>
              </a:ln>
              <a:effectLst/>
            </c:spPr>
          </c:errBars>
          <c:cat>
            <c:strRef>
              <c:f>'SmallSizeSmallData'!$A$3:$A$11</c:f>
              <c:strCache>
                <c:ptCount val="7"/>
                <c:pt idx="0">
                  <c:v>Sequential</c:v>
                </c:pt>
                <c:pt idx="1">
                  <c:v>Threads 2</c:v>
                </c:pt>
                <c:pt idx="2">
                  <c:v>Threads 4</c:v>
                </c:pt>
                <c:pt idx="3">
                  <c:v>Threads 8</c:v>
                </c:pt>
                <c:pt idx="4">
                  <c:v>Threads 16</c:v>
                </c:pt>
                <c:pt idx="5">
                  <c:v>Threads 32</c:v>
                </c:pt>
                <c:pt idx="6">
                  <c:v>Ps</c:v>
                </c:pt>
              </c:strCache>
            </c:strRef>
          </c:cat>
          <c:val>
            <c:numRef>
              <c:f>'BigSizeSmallData'!$M$3:$M$9</c:f>
              <c:numCache>
                <c:ptCount val="7"/>
                <c:pt idx="0">
                  <c:v>0.059709</c:v>
                </c:pt>
                <c:pt idx="1">
                  <c:v>0.035325</c:v>
                </c:pt>
                <c:pt idx="2">
                  <c:v>0.025187</c:v>
                </c:pt>
                <c:pt idx="3">
                  <c:v>0.013286</c:v>
                </c:pt>
                <c:pt idx="4">
                  <c:v>0.013344</c:v>
                </c:pt>
                <c:pt idx="5">
                  <c:v>0.012802</c:v>
                </c:pt>
                <c:pt idx="6">
                  <c:v>0.043109</c:v>
                </c:pt>
              </c:numCache>
            </c:numRef>
          </c:val>
          <c:smooth val="0"/>
        </c:ser>
        <c:marker val="1"/>
        <c:axId val="2094734552"/>
        <c:axId val="2094734553"/>
      </c:lineChart>
      <c:catAx>
        <c:axId val="2094734552"/>
        <c:scaling>
          <c:orientation val="minMax"/>
        </c:scaling>
        <c:delete val="0"/>
        <c:axPos val="b"/>
        <c:numFmt formatCode="0.000000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0.000000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0.0175"/>
        <c:minorUnit val="0.00875"/>
      </c:valAx>
      <c:spPr>
        <a:noFill/>
        <a:ln w="12700" cap="flat">
          <a:solidFill>
            <a:srgbClr val="000000"/>
          </a:solidFill>
          <a:prstDash val="solid"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106856"/>
          <c:y val="0"/>
          <c:w val="0.849203"/>
          <c:h val="0.0640667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711986"/>
          <c:y val="0.12368"/>
          <c:w val="0.85956"/>
          <c:h val="0.810337"/>
        </c:manualLayout>
      </c:layout>
      <c:lineChart>
        <c:grouping val="standard"/>
        <c:varyColors val="0"/>
        <c:ser>
          <c:idx val="0"/>
          <c:order val="0"/>
          <c:tx>
            <c:strRef>
              <c:f>'SmallSizeBigData'!$M$2</c:f>
              <c:strCache>
                <c:ptCount val="1"/>
                <c:pt idx="0">
                  <c:v>Среднее</c:v>
                </c:pt>
              </c:strCache>
            </c:strRef>
          </c:tx>
          <c:spPr>
            <a:solidFill>
              <a:srgbClr val="FFFFFF"/>
            </a:solidFill>
            <a:ln w="50800" cap="flat">
              <a:solidFill>
                <a:schemeClr val="accent1"/>
              </a:solidFill>
              <a:prstDash val="solid"/>
              <a:miter lim="400000"/>
            </a:ln>
            <a:effectLst/>
          </c:spPr>
          <c:marker>
            <c:symbol val="none"/>
            <c:size val="4"/>
            <c:spPr>
              <a:solidFill>
                <a:srgbClr val="FFFFFF"/>
              </a:solidFill>
              <a:ln w="50800" cap="flat">
                <a:solidFill>
                  <a:schemeClr val="accent1"/>
                </a:solidFill>
                <a:prstDash val="solid"/>
                <a:miter lim="400000"/>
              </a:ln>
              <a:effectLst/>
            </c:spPr>
          </c:marker>
          <c:dLbls>
            <c:numFmt formatCode="0.000000" sourceLinked="1"/>
            <c:txPr>
              <a:bodyPr/>
              <a:lstStyle/>
              <a:p>
                <a:pPr>
                  <a:defRPr b="1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errBars>
            <c:errBarType val="both"/>
            <c:errValType val="cust"/>
            <c:noEndCap val="0"/>
            <c:plus>
              <c:numRef>
                <c:f>'SmallSizeBigData'!$AA$3:$AA$9</c:f>
                <c:numCache>
                  <c:ptCount val="7"/>
                  <c:pt idx="0">
                    <c:v>0.006942</c:v>
                  </c:pt>
                  <c:pt idx="1">
                    <c:v>0.000748</c:v>
                  </c:pt>
                  <c:pt idx="2">
                    <c:v>0.001144</c:v>
                  </c:pt>
                  <c:pt idx="3">
                    <c:v>0.001776</c:v>
                  </c:pt>
                  <c:pt idx="4">
                    <c:v>0.001038</c:v>
                  </c:pt>
                  <c:pt idx="5">
                    <c:v>0.000571</c:v>
                  </c:pt>
                  <c:pt idx="6">
                    <c:v>0.001238</c:v>
                  </c:pt>
                </c:numCache>
              </c:numRef>
            </c:plus>
            <c:minus>
              <c:numRef>
                <c:f>'SmallSizeBigData'!$AA$3:$AA$9</c:f>
                <c:numCache>
                  <c:ptCount val="7"/>
                  <c:pt idx="0">
                    <c:v>0.006942</c:v>
                  </c:pt>
                  <c:pt idx="1">
                    <c:v>0.000748</c:v>
                  </c:pt>
                  <c:pt idx="2">
                    <c:v>0.001144</c:v>
                  </c:pt>
                  <c:pt idx="3">
                    <c:v>0.001776</c:v>
                  </c:pt>
                  <c:pt idx="4">
                    <c:v>0.001038</c:v>
                  </c:pt>
                  <c:pt idx="5">
                    <c:v>0.000571</c:v>
                  </c:pt>
                  <c:pt idx="6">
                    <c:v>0.001238</c:v>
                  </c:pt>
                </c:numCache>
              </c:numRef>
            </c:minus>
            <c:val val="0"/>
            <c:spPr>
              <a:noFill/>
              <a:ln w="12700" cap="flat">
                <a:solidFill>
                  <a:srgbClr val="000000"/>
                </a:solidFill>
                <a:prstDash val="solid"/>
                <a:miter lim="400000"/>
              </a:ln>
              <a:effectLst/>
            </c:spPr>
          </c:errBars>
          <c:cat>
            <c:strRef>
              <c:f>'SmallSizeSmallData'!$A$3:$A$11</c:f>
              <c:strCache>
                <c:ptCount val="7"/>
                <c:pt idx="0">
                  <c:v>Sequential</c:v>
                </c:pt>
                <c:pt idx="1">
                  <c:v>Threads 2</c:v>
                </c:pt>
                <c:pt idx="2">
                  <c:v>Threads 4</c:v>
                </c:pt>
                <c:pt idx="3">
                  <c:v>Threads 8</c:v>
                </c:pt>
                <c:pt idx="4">
                  <c:v>Threads 16</c:v>
                </c:pt>
                <c:pt idx="5">
                  <c:v>Threads 32</c:v>
                </c:pt>
                <c:pt idx="6">
                  <c:v>Ps</c:v>
                </c:pt>
              </c:strCache>
            </c:strRef>
          </c:cat>
          <c:val>
            <c:numRef>
              <c:f>'SmallSizeBigData'!$M$3:$M$9</c:f>
              <c:numCache>
                <c:ptCount val="7"/>
                <c:pt idx="0">
                  <c:v>0.188906</c:v>
                </c:pt>
                <c:pt idx="1">
                  <c:v>0.083015</c:v>
                </c:pt>
                <c:pt idx="2">
                  <c:v>0.042489</c:v>
                </c:pt>
                <c:pt idx="3">
                  <c:v>0.042744</c:v>
                </c:pt>
                <c:pt idx="4">
                  <c:v>0.040504</c:v>
                </c:pt>
                <c:pt idx="5">
                  <c:v>0.038590</c:v>
                </c:pt>
                <c:pt idx="6">
                  <c:v>0.043811</c:v>
                </c:pt>
              </c:numCache>
            </c:numRef>
          </c:val>
          <c:smooth val="0"/>
        </c:ser>
        <c:marker val="1"/>
        <c:axId val="2094734552"/>
        <c:axId val="2094734553"/>
      </c:lineChart>
      <c:catAx>
        <c:axId val="2094734552"/>
        <c:scaling>
          <c:orientation val="minMax"/>
        </c:scaling>
        <c:delete val="0"/>
        <c:axPos val="b"/>
        <c:numFmt formatCode="0.000000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0.000000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0.05"/>
        <c:minorUnit val="0.025"/>
      </c:valAx>
      <c:spPr>
        <a:noFill/>
        <a:ln w="12700" cap="flat">
          <a:solidFill>
            <a:srgbClr val="000000"/>
          </a:solidFill>
          <a:prstDash val="solid"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106856"/>
          <c:y val="0"/>
          <c:w val="0.849203"/>
          <c:h val="0.0640667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autoTitleDeleted val="1"/>
    <c:plotArea>
      <c:layout>
        <c:manualLayout>
          <c:layoutTarget val="inner"/>
          <c:xMode val="edge"/>
          <c:yMode val="edge"/>
          <c:x val="0.0744708"/>
          <c:y val="0.12368"/>
          <c:w val="0.899065"/>
          <c:h val="0.810337"/>
        </c:manualLayout>
      </c:layout>
      <c:lineChart>
        <c:grouping val="standard"/>
        <c:varyColors val="0"/>
        <c:ser>
          <c:idx val="0"/>
          <c:order val="0"/>
          <c:tx>
            <c:strRef>
              <c:f>'SmallSizeSmallData'!$M$2</c:f>
              <c:strCache>
                <c:ptCount val="1"/>
                <c:pt idx="0">
                  <c:v>Среднее</c:v>
                </c:pt>
              </c:strCache>
            </c:strRef>
          </c:tx>
          <c:spPr>
            <a:solidFill>
              <a:srgbClr val="FFFFFF"/>
            </a:solidFill>
            <a:ln w="50800" cap="flat">
              <a:solidFill>
                <a:schemeClr val="accent1"/>
              </a:solidFill>
              <a:prstDash val="solid"/>
              <a:miter lim="400000"/>
            </a:ln>
            <a:effectLst/>
          </c:spPr>
          <c:marker>
            <c:symbol val="none"/>
            <c:size val="4"/>
            <c:spPr>
              <a:solidFill>
                <a:srgbClr val="FFFFFF"/>
              </a:solidFill>
              <a:ln w="50800" cap="flat">
                <a:solidFill>
                  <a:schemeClr val="accent1"/>
                </a:solidFill>
                <a:prstDash val="solid"/>
                <a:miter lim="400000"/>
              </a:ln>
              <a:effectLst/>
            </c:spPr>
          </c:marker>
          <c:dLbls>
            <c:numFmt formatCode="#,##0" sourceLinked="1"/>
            <c:txPr>
              <a:bodyPr/>
              <a:lstStyle/>
              <a:p>
                <a:pPr>
                  <a:defRPr b="1" i="0" strike="noStrike" sz="1200" u="none">
                    <a:solidFill>
                      <a:srgbClr val="000000"/>
                    </a:solidFill>
                    <a:latin typeface="Helvetica Neue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errBars>
            <c:errBarType val="both"/>
            <c:errValType val="cust"/>
            <c:noEndCap val="0"/>
            <c:plus>
              <c:numRef>
                <c:f>'SmallSizeSmallData'!$AA$3:$AA$9</c:f>
                <c:numCache>
                  <c:ptCount val="7"/>
                  <c:pt idx="0">
                    <c:v>0.000478</c:v>
                  </c:pt>
                  <c:pt idx="1">
                    <c:v>0.000380</c:v>
                  </c:pt>
                  <c:pt idx="2">
                    <c:v>0.000324</c:v>
                  </c:pt>
                  <c:pt idx="3">
                    <c:v>0.000201</c:v>
                  </c:pt>
                  <c:pt idx="4">
                    <c:v>0.000307</c:v>
                  </c:pt>
                  <c:pt idx="5">
                    <c:v>0.000493</c:v>
                  </c:pt>
                  <c:pt idx="6">
                    <c:v>0.000932</c:v>
                  </c:pt>
                </c:numCache>
              </c:numRef>
            </c:plus>
            <c:minus>
              <c:numRef>
                <c:f>'SmallSizeSmallData'!$AA$3:$AA$9</c:f>
                <c:numCache>
                  <c:ptCount val="7"/>
                  <c:pt idx="0">
                    <c:v>0.000478</c:v>
                  </c:pt>
                  <c:pt idx="1">
                    <c:v>0.000380</c:v>
                  </c:pt>
                  <c:pt idx="2">
                    <c:v>0.000324</c:v>
                  </c:pt>
                  <c:pt idx="3">
                    <c:v>0.000201</c:v>
                  </c:pt>
                  <c:pt idx="4">
                    <c:v>0.000307</c:v>
                  </c:pt>
                  <c:pt idx="5">
                    <c:v>0.000493</c:v>
                  </c:pt>
                  <c:pt idx="6">
                    <c:v>0.000932</c:v>
                  </c:pt>
                </c:numCache>
              </c:numRef>
            </c:minus>
            <c:val val="0"/>
            <c:spPr>
              <a:noFill/>
              <a:ln w="12700" cap="flat">
                <a:solidFill>
                  <a:srgbClr val="000000"/>
                </a:solidFill>
                <a:prstDash val="solid"/>
                <a:miter lim="400000"/>
              </a:ln>
              <a:effectLst/>
            </c:spPr>
          </c:errBars>
          <c:cat>
            <c:strRef>
              <c:f>'SmallSizeSmallData'!$A$3:$A$11</c:f>
              <c:strCache>
                <c:ptCount val="9"/>
                <c:pt idx="0">
                  <c:v>Sequential</c:v>
                </c:pt>
                <c:pt idx="1">
                  <c:v>Threads 2</c:v>
                </c:pt>
                <c:pt idx="2">
                  <c:v>Threads 4</c:v>
                </c:pt>
                <c:pt idx="3">
                  <c:v>Threads 8</c:v>
                </c:pt>
                <c:pt idx="4">
                  <c:v>Threads 16</c:v>
                </c:pt>
                <c:pt idx="5">
                  <c:v>Threads 32</c:v>
                </c:pt>
                <c:pt idx="6">
                  <c:v>Ps</c:v>
                </c:pt>
                <c:pt idx="7">
                  <c:v/>
                </c:pt>
                <c:pt idx="8">
                  <c:v/>
                </c:pt>
              </c:strCache>
            </c:strRef>
          </c:cat>
          <c:val>
            <c:numRef>
              <c:f>'SmallSizeSmallData'!$M$3:$M$11</c:f>
              <c:numCache>
                <c:ptCount val="7"/>
                <c:pt idx="0">
                  <c:v>0.002808</c:v>
                </c:pt>
                <c:pt idx="1">
                  <c:v>0.002691</c:v>
                </c:pt>
                <c:pt idx="2">
                  <c:v>0.001352</c:v>
                </c:pt>
                <c:pt idx="3">
                  <c:v>0.001195</c:v>
                </c:pt>
                <c:pt idx="4">
                  <c:v>0.001527</c:v>
                </c:pt>
                <c:pt idx="5">
                  <c:v>0.002559</c:v>
                </c:pt>
                <c:pt idx="6">
                  <c:v>0.005345</c:v>
                </c:pt>
              </c:numCache>
            </c:numRef>
          </c:val>
          <c:smooth val="0"/>
        </c:ser>
        <c:marker val="1"/>
        <c:axId val="2094734552"/>
        <c:axId val="2094734553"/>
      </c:lineChart>
      <c:catAx>
        <c:axId val="2094734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12700" cap="flat">
            <a:solidFill>
              <a:srgbClr val="000000"/>
            </a:solidFill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3"/>
        <c:crosses val="autoZero"/>
        <c:auto val="1"/>
        <c:lblAlgn val="ctr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6350" cap="flat">
              <a:solidFill>
                <a:srgbClr val="B8B8B8"/>
              </a:solidFill>
              <a:prstDash val="solid"/>
              <a:miter lim="400000"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 cap="flat">
            <a:noFill/>
            <a:prstDash val="solid"/>
            <a:miter lim="400000"/>
          </a:ln>
        </c:spPr>
        <c:txPr>
          <a:bodyPr rot="0"/>
          <a:lstStyle/>
          <a:p>
            <a:pPr>
              <a:defRPr b="0" i="0" strike="noStrike" sz="1000" u="none">
                <a:solidFill>
                  <a:srgbClr val="000000"/>
                </a:solidFill>
                <a:latin typeface="Helvetica Neue"/>
              </a:defRPr>
            </a:pPr>
          </a:p>
        </c:txPr>
        <c:crossAx val="2094734552"/>
        <c:crosses val="autoZero"/>
        <c:crossBetween val="between"/>
        <c:majorUnit val="0.00175"/>
        <c:minorUnit val="0.000875"/>
      </c:valAx>
      <c:spPr>
        <a:noFill/>
        <a:ln w="12700" cap="flat">
          <a:solidFill>
            <a:srgbClr val="000000"/>
          </a:solidFill>
          <a:prstDash val="solid"/>
          <a:miter lim="400000"/>
        </a:ln>
        <a:effectLst/>
      </c:spPr>
    </c:plotArea>
    <c:legend>
      <c:legendPos val="t"/>
      <c:layout>
        <c:manualLayout>
          <c:xMode val="edge"/>
          <c:yMode val="edge"/>
          <c:x val="0.111768"/>
          <c:y val="0"/>
          <c:w val="0.888232"/>
          <c:h val="0.0640667"/>
        </c:manualLayout>
      </c:layout>
      <c:overlay val="1"/>
      <c:spPr>
        <a:noFill/>
        <a:ln w="12700" cap="flat">
          <a:noFill/>
          <a:miter lim="400000"/>
        </a:ln>
        <a:effectLst/>
      </c:spPr>
      <c:txPr>
        <a:bodyPr rot="0"/>
        <a:lstStyle/>
        <a:p>
          <a:pPr>
            <a:defRPr b="0" i="0" strike="noStrike" sz="1000" u="none">
              <a:solidFill>
                <a:srgbClr val="000000"/>
              </a:solidFill>
              <a:latin typeface="Helvetica Neue"/>
            </a:defRPr>
          </a:pPr>
        </a:p>
      </c:txPr>
    </c:legend>
    <c:plotVisOnly val="1"/>
    <c:dispBlanksAs val="gap"/>
  </c:chart>
  <c:spPr>
    <a:noFill/>
    <a:ln>
      <a:noFill/>
    </a:ln>
    <a:effectLst/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/Relationships>
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/Relationships>
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</Relationships>
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13</xdr:row>
      <xdr:rowOff>140854</xdr:rowOff>
    </xdr:from>
    <xdr:to>
      <xdr:col>11</xdr:col>
      <xdr:colOff>620432</xdr:colOff>
      <xdr:row>28</xdr:row>
      <xdr:rowOff>159904</xdr:rowOff>
    </xdr:to>
    <xdr:graphicFrame>
      <xdr:nvGraphicFramePr>
        <xdr:cNvPr id="2" name="Двухосная диаграмма"/>
        <xdr:cNvGraphicFramePr/>
      </xdr:nvGraphicFramePr>
      <xdr:xfrm>
        <a:off x="-64263" y="4158499"/>
        <a:ext cx="9700934" cy="3810001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15</xdr:row>
      <xdr:rowOff>136905</xdr:rowOff>
    </xdr:from>
    <xdr:to>
      <xdr:col>13</xdr:col>
      <xdr:colOff>594270</xdr:colOff>
      <xdr:row>30</xdr:row>
      <xdr:rowOff>155955</xdr:rowOff>
    </xdr:to>
    <xdr:graphicFrame>
      <xdr:nvGraphicFramePr>
        <xdr:cNvPr id="4" name="Двухосная диаграмма"/>
        <xdr:cNvGraphicFramePr/>
      </xdr:nvGraphicFramePr>
      <xdr:xfrm>
        <a:off x="0" y="4663820"/>
        <a:ext cx="9636671" cy="3810001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3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0</xdr:colOff>
      <xdr:row>13</xdr:row>
      <xdr:rowOff>136397</xdr:rowOff>
    </xdr:from>
    <xdr:to>
      <xdr:col>15</xdr:col>
      <xdr:colOff>111670</xdr:colOff>
      <xdr:row>28</xdr:row>
      <xdr:rowOff>155447</xdr:rowOff>
    </xdr:to>
    <xdr:graphicFrame>
      <xdr:nvGraphicFramePr>
        <xdr:cNvPr id="6" name="Двухосная диаграмма"/>
        <xdr:cNvGraphicFramePr/>
      </xdr:nvGraphicFramePr>
      <xdr:xfrm>
        <a:off x="0" y="4763642"/>
        <a:ext cx="9636671" cy="3810001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drawings/drawing4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164661</xdr:colOff>
      <xdr:row>14</xdr:row>
      <xdr:rowOff>188467</xdr:rowOff>
    </xdr:from>
    <xdr:to>
      <xdr:col>13</xdr:col>
      <xdr:colOff>56091</xdr:colOff>
      <xdr:row>29</xdr:row>
      <xdr:rowOff>207517</xdr:rowOff>
    </xdr:to>
    <xdr:graphicFrame>
      <xdr:nvGraphicFramePr>
        <xdr:cNvPr id="8" name="Двухосная диаграмма"/>
        <xdr:cNvGraphicFramePr/>
      </xdr:nvGraphicFramePr>
      <xdr:xfrm>
        <a:off x="164661" y="5068442"/>
        <a:ext cx="9213231" cy="3810001"/>
      </xdr:xfrm>
      <a:graphic xmlns:a="http://schemas.openxmlformats.org/drawingml/2006/main"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</Relationships>
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3.6016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30</v>
      </c>
      <c r="C11" s="3"/>
      <c r="D11" s="3"/>
    </row>
    <row r="12">
      <c r="B12" s="4"/>
      <c r="C12" t="s" s="4">
        <v>5</v>
      </c>
      <c r="D12" t="s" s="5">
        <v>30</v>
      </c>
    </row>
    <row r="13">
      <c r="B13" t="s" s="3">
        <v>31</v>
      </c>
      <c r="C13" s="3"/>
      <c r="D13" s="3"/>
    </row>
    <row r="14">
      <c r="B14" s="4"/>
      <c r="C14" t="s" s="4">
        <v>5</v>
      </c>
      <c r="D14" t="s" s="5">
        <v>31</v>
      </c>
    </row>
    <row r="15">
      <c r="B15" t="s" s="3">
        <v>32</v>
      </c>
      <c r="C15" s="3"/>
      <c r="D15" s="3"/>
    </row>
    <row r="16">
      <c r="B16" s="4"/>
      <c r="C16" t="s" s="4">
        <v>5</v>
      </c>
      <c r="D16" t="s" s="5">
        <v>32</v>
      </c>
    </row>
  </sheetData>
  <mergeCells count="1">
    <mergeCell ref="B3:D3"/>
  </mergeCells>
  <hyperlinks>
    <hyperlink ref="D10" location="'BigSizeBigData'!R2C1" tooltip="" display="BigSizeBigData"/>
    <hyperlink ref="D12" location="'BigSizeSmallData'!R2C1" tooltip="" display="BigSizeSmallData"/>
    <hyperlink ref="D14" location="'SmallSizeBigData'!R2C1" tooltip="" display="SmallSizeBigData"/>
    <hyperlink ref="D16" location="'SmallSizeSmallData'!R2C1" tooltip="" display="SmallSizeSmallData"/>
  </hyperlinks>
</worksheet>
</file>

<file path=xl/worksheets/sheet2.xml><?xml version="1.0" encoding="utf-8"?>
<worksheet xmlns:r="http://schemas.openxmlformats.org/officeDocument/2006/relationships" xmlns="http://schemas.openxmlformats.org/spreadsheetml/2006/main">
  <dimension ref="A2:AA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1" width="10.8906" style="6" customWidth="1"/>
    <col min="12" max="12" width="10.4062" style="6" customWidth="1"/>
    <col min="13" max="13" width="9.40625" style="6" customWidth="1"/>
    <col min="14" max="23" width="9.53906" style="6" customWidth="1"/>
    <col min="24" max="24" width="17.375" style="6" customWidth="1"/>
    <col min="25" max="25" width="13.0781" style="6" customWidth="1"/>
    <col min="26" max="27" width="13" style="6" customWidth="1"/>
    <col min="28" max="16384" width="16.3516" style="6" customWidth="1"/>
  </cols>
  <sheetData>
    <row r="1" ht="27.65" customHeight="1">
      <c r="A1" t="s" s="7">
        <v>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ht="44.25" customHeight="1">
      <c r="A2" s="8"/>
      <c r="B2" s="9">
        <v>1</v>
      </c>
      <c r="C2" s="9">
        <v>2</v>
      </c>
      <c r="D2" s="9">
        <v>3</v>
      </c>
      <c r="E2" s="9">
        <v>4</v>
      </c>
      <c r="F2" s="9">
        <v>5</v>
      </c>
      <c r="G2" s="9">
        <v>6</v>
      </c>
      <c r="H2" s="9">
        <v>7</v>
      </c>
      <c r="I2" s="9">
        <v>8</v>
      </c>
      <c r="J2" s="9">
        <v>9</v>
      </c>
      <c r="K2" s="9">
        <v>10</v>
      </c>
      <c r="L2" t="s" s="10">
        <v>6</v>
      </c>
      <c r="M2" t="s" s="10">
        <v>7</v>
      </c>
      <c r="N2" t="s" s="10">
        <v>8</v>
      </c>
      <c r="O2" t="s" s="10">
        <v>9</v>
      </c>
      <c r="P2" t="s" s="10">
        <v>10</v>
      </c>
      <c r="Q2" t="s" s="10">
        <v>11</v>
      </c>
      <c r="R2" t="s" s="10">
        <v>12</v>
      </c>
      <c r="S2" t="s" s="10">
        <v>13</v>
      </c>
      <c r="T2" t="s" s="10">
        <v>14</v>
      </c>
      <c r="U2" t="s" s="10">
        <v>15</v>
      </c>
      <c r="V2" t="s" s="10">
        <v>16</v>
      </c>
      <c r="W2" t="s" s="10">
        <v>17</v>
      </c>
      <c r="X2" t="s" s="10">
        <v>18</v>
      </c>
      <c r="Y2" t="s" s="10">
        <v>19</v>
      </c>
      <c r="Z2" t="s" s="10">
        <v>20</v>
      </c>
      <c r="AA2" t="s" s="10">
        <v>21</v>
      </c>
    </row>
    <row r="3" ht="20.25" customHeight="1">
      <c r="A3" t="s" s="11">
        <v>22</v>
      </c>
      <c r="B3" s="12">
        <v>10.096524</v>
      </c>
      <c r="C3" s="13">
        <v>9.955386000000001</v>
      </c>
      <c r="D3" s="13">
        <v>10.394115</v>
      </c>
      <c r="E3" s="13">
        <v>10.167564</v>
      </c>
      <c r="F3" s="13">
        <v>10.111201</v>
      </c>
      <c r="G3" s="13">
        <v>10.310884</v>
      </c>
      <c r="H3" s="13">
        <v>10.117384</v>
      </c>
      <c r="I3" s="13">
        <v>10.226718</v>
      </c>
      <c r="J3" s="13">
        <v>10.172673</v>
      </c>
      <c r="K3" s="13">
        <v>10.232464</v>
      </c>
      <c r="L3" s="13">
        <f>SUM(B3:K3)</f>
        <v>101.784913</v>
      </c>
      <c r="M3" s="13">
        <f>L3/10</f>
        <v>10.1784913</v>
      </c>
      <c r="N3" s="13">
        <f>POWER(B3-$M3,2)</f>
        <v>0.00671863826929</v>
      </c>
      <c r="O3" s="13">
        <f>POWER(C3-$M3,2)</f>
        <v>0.04977597488809</v>
      </c>
      <c r="P3" s="13">
        <f>POWER(D3-$M3,2)</f>
        <v>0.04649358000169</v>
      </c>
      <c r="Q3" s="13">
        <f>POWER(E3-$M3,2)</f>
        <v>0.00011940588529</v>
      </c>
      <c r="R3" s="13">
        <f>POWER(F3-$M3,2)</f>
        <v>0.00452798447409</v>
      </c>
      <c r="S3" s="13">
        <f>POWER(G3-$M3,2)</f>
        <v>0.01752782701329</v>
      </c>
      <c r="T3" s="13">
        <f>POWER(H3-$M3,2)</f>
        <v>0.00373410211329</v>
      </c>
      <c r="U3" s="13">
        <f>POWER(I3-$M3,2)</f>
        <v>0.00232581459289</v>
      </c>
      <c r="V3" s="13">
        <f>POWER(J3-$M3,2)</f>
        <v>3.385261489e-05</v>
      </c>
      <c r="W3" s="13">
        <f>POWER(K3-$M3,2)</f>
        <v>0.00291305234529</v>
      </c>
      <c r="X3" s="13">
        <f>SQRT(SUM(N3:W3)/9)</f>
        <v>0.122097516672399</v>
      </c>
      <c r="Y3" s="13">
        <f>M3+X3/SQRT(10)*$Y$11</f>
        <v>10.2657513123497</v>
      </c>
      <c r="Z3" s="13">
        <f>M3-X3*$Y$11/SQRT(10)</f>
        <v>10.0912312876503</v>
      </c>
      <c r="AA3" s="13">
        <f>Y3-M3</f>
        <v>0.0872600123497</v>
      </c>
    </row>
    <row r="4" ht="20.05" customHeight="1">
      <c r="A4" t="s" s="14">
        <v>23</v>
      </c>
      <c r="B4" s="15">
        <v>5.164622</v>
      </c>
      <c r="C4" s="16">
        <v>5.130684</v>
      </c>
      <c r="D4" s="16">
        <v>5.203476</v>
      </c>
      <c r="E4" s="16">
        <v>5.153364</v>
      </c>
      <c r="F4" s="16">
        <v>5.131332</v>
      </c>
      <c r="G4" s="16">
        <v>5.195927</v>
      </c>
      <c r="H4" s="16">
        <v>5.291554</v>
      </c>
      <c r="I4" s="16">
        <v>5.290699</v>
      </c>
      <c r="J4" s="16">
        <v>5.254195</v>
      </c>
      <c r="K4" s="16">
        <v>5.234943</v>
      </c>
      <c r="L4" s="16">
        <f>SUM(B4:K4)</f>
        <v>52.050796</v>
      </c>
      <c r="M4" s="16">
        <f>L4/10</f>
        <v>5.2050796</v>
      </c>
      <c r="N4" s="16">
        <f>POWER(B4-$M4,2)</f>
        <v>0.00163681739776</v>
      </c>
      <c r="O4" s="16">
        <f>POWER(C4-$M4,2)</f>
        <v>0.00553470529936</v>
      </c>
      <c r="P4" s="16">
        <f>POWER(D4-$M4,2)</f>
        <v>2.57153296e-06</v>
      </c>
      <c r="Q4" s="16">
        <f>POWER(E4-$M4,2)</f>
        <v>0.00267450328336</v>
      </c>
      <c r="R4" s="16">
        <f>POWER(F4-$M4,2)</f>
        <v>0.00543870850576</v>
      </c>
      <c r="S4" s="16">
        <f>POWER(G4-$M4,2)</f>
        <v>8.377008676e-05</v>
      </c>
      <c r="T4" s="16">
        <f>POWER(H4-$M4,2)</f>
        <v>0.00747782185536</v>
      </c>
      <c r="U4" s="16">
        <f>POWER(I4-$M4,2)</f>
        <v>0.00733068165636</v>
      </c>
      <c r="V4" s="16">
        <f>POWER(J4-$M4,2)</f>
        <v>0.00241232251716</v>
      </c>
      <c r="W4" s="16">
        <f>POWER(K4-$M4,2)</f>
        <v>0.0008918226595599999</v>
      </c>
      <c r="X4" s="16">
        <f>SQRT(SUM(N4:W4)/9)</f>
        <v>0.0609951954341032</v>
      </c>
      <c r="Y4" s="16">
        <f>M4+X4/SQRT(10)*$Y$11</f>
        <v>5.24867132612114</v>
      </c>
      <c r="Z4" s="16">
        <f>M4-X4*$Y$11/SQRT(10)</f>
        <v>5.16148787387886</v>
      </c>
      <c r="AA4" s="16">
        <f>Y4-M4</f>
        <v>0.04359172612114</v>
      </c>
    </row>
    <row r="5" ht="20.05" customHeight="1">
      <c r="A5" t="s" s="14">
        <v>24</v>
      </c>
      <c r="B5" s="15">
        <v>2.681483</v>
      </c>
      <c r="C5" s="16">
        <v>2.667891</v>
      </c>
      <c r="D5" s="16">
        <v>3.074526</v>
      </c>
      <c r="E5" s="16">
        <v>2.746968</v>
      </c>
      <c r="F5" s="16">
        <v>2.670377</v>
      </c>
      <c r="G5" s="16">
        <v>2.722472</v>
      </c>
      <c r="H5" s="16">
        <v>2.946367</v>
      </c>
      <c r="I5" s="16">
        <v>2.839661</v>
      </c>
      <c r="J5" s="16">
        <v>2.804246</v>
      </c>
      <c r="K5" s="16">
        <v>2.682153</v>
      </c>
      <c r="L5" s="16">
        <f>SUM(B5:K5)</f>
        <v>27.836144</v>
      </c>
      <c r="M5" s="16">
        <f>L5/10</f>
        <v>2.7836144</v>
      </c>
      <c r="N5" s="16">
        <f>POWER(B5-$M5,2)</f>
        <v>0.01043082286596</v>
      </c>
      <c r="O5" s="16">
        <f>POWER(C5-$M5,2)</f>
        <v>0.01339190530756</v>
      </c>
      <c r="P5" s="16">
        <f>POWER(D5-$M5,2)</f>
        <v>0.08462955901456</v>
      </c>
      <c r="Q5" s="16">
        <f>POWER(E5-$M5,2)</f>
        <v>0.00134295863296</v>
      </c>
      <c r="R5" s="16">
        <f>POWER(F5-$M5,2)</f>
        <v>0.01282270875876</v>
      </c>
      <c r="S5" s="16">
        <f>POWER(G5-$M5,2)</f>
        <v>0.00373839307776</v>
      </c>
      <c r="T5" s="16">
        <f>POWER(H5-$M5,2)</f>
        <v>0.02648840880676</v>
      </c>
      <c r="U5" s="16">
        <f>POWER(I5-$M5,2)</f>
        <v>0.00314122137156</v>
      </c>
      <c r="V5" s="16">
        <f>POWER(J5-$M5,2)</f>
        <v>0.00042566291856</v>
      </c>
      <c r="W5" s="16">
        <f>POWER(K5-$M5,2)</f>
        <v>0.01029441568996</v>
      </c>
      <c r="X5" s="16">
        <f>SQRT(SUM(N5:W5)/9)</f>
        <v>0.136098843347359</v>
      </c>
      <c r="Y5" s="16">
        <f>M5+X5/SQRT(10)*$Y$11</f>
        <v>2.88088080700762</v>
      </c>
      <c r="Z5" s="16">
        <f>M5-X5*$Y$11/SQRT(10)</f>
        <v>2.68634799299238</v>
      </c>
      <c r="AA5" s="16">
        <f>Y5-M5</f>
        <v>0.09726640700762</v>
      </c>
    </row>
    <row r="6" ht="20.05" customHeight="1">
      <c r="A6" t="s" s="14">
        <v>25</v>
      </c>
      <c r="B6" s="15">
        <v>2.474105</v>
      </c>
      <c r="C6" s="16">
        <v>2.46026</v>
      </c>
      <c r="D6" s="16">
        <v>2.458803</v>
      </c>
      <c r="E6" s="16">
        <v>2.553129</v>
      </c>
      <c r="F6" s="16">
        <v>2.501624</v>
      </c>
      <c r="G6" s="16">
        <v>2.647484</v>
      </c>
      <c r="H6" s="16">
        <v>2.542251</v>
      </c>
      <c r="I6" s="16">
        <v>2.54034</v>
      </c>
      <c r="J6" s="16">
        <v>2.604955</v>
      </c>
      <c r="K6" s="16">
        <v>2.425745</v>
      </c>
      <c r="L6" s="16">
        <f>SUM(B6:K6)</f>
        <v>25.208696</v>
      </c>
      <c r="M6" s="16">
        <f>L6/10</f>
        <v>2.5208696</v>
      </c>
      <c r="N6" s="16">
        <f>POWER(B6-$M6,2)</f>
        <v>0.00218692781316</v>
      </c>
      <c r="O6" s="16">
        <f>POWER(C6-$M6,2)</f>
        <v>0.00367352361216</v>
      </c>
      <c r="P6" s="16">
        <f>POWER(D6-$M6,2)</f>
        <v>0.00385226283556</v>
      </c>
      <c r="Q6" s="16">
        <f>POWER(E6-$M6,2)</f>
        <v>0.00104066888836</v>
      </c>
      <c r="R6" s="16">
        <f>POWER(F6-$M6,2)</f>
        <v>0.00037039311936</v>
      </c>
      <c r="S6" s="16">
        <f>POWER(G6-$M6,2)</f>
        <v>0.01603120628736</v>
      </c>
      <c r="T6" s="16">
        <f>POWER(H6-$M6,2)</f>
        <v>0.00045716426596</v>
      </c>
      <c r="U6" s="16">
        <f>POWER(I6-$M6,2)</f>
        <v>0.00037909647616</v>
      </c>
      <c r="V6" s="16">
        <f>POWER(J6-$M6,2)</f>
        <v>0.00707035449316</v>
      </c>
      <c r="W6" s="16">
        <f>POWER(K6-$M6,2)</f>
        <v>0.009048689525159999</v>
      </c>
      <c r="X6" s="16">
        <f>SQRT(SUM(N6:W6)/9)</f>
        <v>0.07000816406074049</v>
      </c>
      <c r="Y6" s="16">
        <f>M6+X6/SQRT(10)*$Y$11</f>
        <v>2.57090266723194</v>
      </c>
      <c r="Z6" s="16">
        <f>M6-X6*$Y$11/SQRT(10)</f>
        <v>2.47083653276806</v>
      </c>
      <c r="AA6" s="16">
        <f>Y6-M6</f>
        <v>0.05003306723194</v>
      </c>
    </row>
    <row r="7" ht="20.05" customHeight="1">
      <c r="A7" t="s" s="14">
        <v>26</v>
      </c>
      <c r="B7" s="15">
        <v>2.397857</v>
      </c>
      <c r="C7" s="16">
        <v>2.408788</v>
      </c>
      <c r="D7" s="16">
        <v>2.409137</v>
      </c>
      <c r="E7" s="16">
        <v>2.430786</v>
      </c>
      <c r="F7" s="16">
        <v>2.442653</v>
      </c>
      <c r="G7" s="16">
        <v>2.471435</v>
      </c>
      <c r="H7" s="16">
        <v>2.742826</v>
      </c>
      <c r="I7" s="16">
        <v>2.518113</v>
      </c>
      <c r="J7" s="16">
        <v>2.407827</v>
      </c>
      <c r="K7" s="16">
        <v>2.399257</v>
      </c>
      <c r="L7" s="16">
        <f>SUM(B7:K7)</f>
        <v>24.628679</v>
      </c>
      <c r="M7" s="16">
        <f>L7/10</f>
        <v>2.4628679</v>
      </c>
      <c r="N7" s="16">
        <f>POWER(B7-$M7,2)</f>
        <v>0.00422641711881</v>
      </c>
      <c r="O7" s="16">
        <f>POWER(C7-$M7,2)</f>
        <v>0.00292463558401</v>
      </c>
      <c r="P7" s="16">
        <f>POWER(D7-$M7,2)</f>
        <v>0.00288700961481</v>
      </c>
      <c r="Q7" s="16">
        <f>POWER(E7-$M7,2)</f>
        <v>0.00102924830761</v>
      </c>
      <c r="R7" s="16">
        <f>POWER(F7-$M7,2)</f>
        <v>0.00040864218201</v>
      </c>
      <c r="S7" s="16">
        <f>POWER(G7-$M7,2)</f>
        <v>7.339520241e-05</v>
      </c>
      <c r="T7" s="16">
        <f>POWER(H7-$M7,2)</f>
        <v>0.07837653775561</v>
      </c>
      <c r="U7" s="16">
        <f>POWER(I7-$M7,2)</f>
        <v>0.00305202107401</v>
      </c>
      <c r="V7" s="16">
        <f>POWER(J7-$M7,2)</f>
        <v>0.00302950067281</v>
      </c>
      <c r="W7" s="16">
        <f>POWER(K7-$M7,2)</f>
        <v>0.00404634659881</v>
      </c>
      <c r="X7" s="16">
        <f>SQRT(SUM(N7:W7)/9)</f>
        <v>0.105437582436719</v>
      </c>
      <c r="Y7" s="16">
        <f>M7+X7/SQRT(10)*$Y$11</f>
        <v>2.53822147799489</v>
      </c>
      <c r="Z7" s="16">
        <f>M7-X7*$Y$11/SQRT(10)</f>
        <v>2.38751432200511</v>
      </c>
      <c r="AA7" s="16">
        <f>Y7-M7</f>
        <v>0.07535357799488999</v>
      </c>
    </row>
    <row r="8" ht="20.05" customHeight="1">
      <c r="A8" t="s" s="14">
        <v>27</v>
      </c>
      <c r="B8" s="15">
        <v>2.386973</v>
      </c>
      <c r="C8" s="16">
        <v>2.386661</v>
      </c>
      <c r="D8" s="16">
        <v>2.55996</v>
      </c>
      <c r="E8" s="16">
        <v>2.41062</v>
      </c>
      <c r="F8" s="16">
        <v>2.402689</v>
      </c>
      <c r="G8" s="16">
        <v>2.536068</v>
      </c>
      <c r="H8" s="16">
        <v>2.587422</v>
      </c>
      <c r="I8" s="16">
        <v>2.501841</v>
      </c>
      <c r="J8" s="16">
        <v>2.505564</v>
      </c>
      <c r="K8" s="16">
        <v>2.392521</v>
      </c>
      <c r="L8" s="16">
        <f>SUM(B8:K8)</f>
        <v>24.670319</v>
      </c>
      <c r="M8" s="16">
        <f>L8/10</f>
        <v>2.4670319</v>
      </c>
      <c r="N8" s="16">
        <f>POWER(B8-$M8,2)</f>
        <v>0.00640942746921</v>
      </c>
      <c r="O8" s="16">
        <f>POWER(C8-$M8,2)</f>
        <v>0.00645948156681</v>
      </c>
      <c r="P8" s="16">
        <f>POWER(D8-$M8,2)</f>
        <v>0.00863563176961</v>
      </c>
      <c r="Q8" s="16">
        <f>POWER(E8-$M8,2)</f>
        <v>0.00318230246161</v>
      </c>
      <c r="R8" s="16">
        <f>POWER(F8-$M8,2)</f>
        <v>0.00414000878041</v>
      </c>
      <c r="S8" s="16">
        <f>POWER(G8-$M8,2)</f>
        <v>0.00476598310321</v>
      </c>
      <c r="T8" s="16">
        <f>POWER(H8-$M8,2)</f>
        <v>0.01449377617801</v>
      </c>
      <c r="U8" s="16">
        <f>POWER(I8-$M8,2)</f>
        <v>0.00121167344281</v>
      </c>
      <c r="V8" s="16">
        <f>POWER(J8-$M8,2)</f>
        <v>0.00148472273041</v>
      </c>
      <c r="W8" s="16">
        <f>POWER(K8-$M8,2)</f>
        <v>0.00555187421881</v>
      </c>
      <c r="X8" s="16">
        <f>SQRT(SUM(N8:W8)/9)</f>
        <v>0.0791165678118194</v>
      </c>
      <c r="Y8" s="16">
        <f>M8+X8/SQRT(10)*$Y$11</f>
        <v>2.52357451341656</v>
      </c>
      <c r="Z8" s="16">
        <f>M8-X8*$Y$11/SQRT(10)</f>
        <v>2.41048928658344</v>
      </c>
      <c r="AA8" s="16">
        <f>Y8-M8</f>
        <v>0.05654261341656</v>
      </c>
    </row>
    <row r="9" ht="20.05" customHeight="1">
      <c r="A9" t="s" s="14">
        <v>28</v>
      </c>
      <c r="B9" s="15">
        <v>2.438638</v>
      </c>
      <c r="C9" s="16">
        <v>2.435021</v>
      </c>
      <c r="D9" s="16">
        <v>2.486627</v>
      </c>
      <c r="E9" s="16">
        <v>2.462637</v>
      </c>
      <c r="F9" s="16">
        <v>2.472063</v>
      </c>
      <c r="G9" s="16">
        <v>2.611387</v>
      </c>
      <c r="H9" s="16">
        <v>2.529974</v>
      </c>
      <c r="I9" s="16">
        <v>2.720688</v>
      </c>
      <c r="J9" s="16">
        <v>2.498788</v>
      </c>
      <c r="K9" s="16">
        <v>2.403426</v>
      </c>
      <c r="L9" s="16">
        <f>SUM(B9:K9)</f>
        <v>25.059249</v>
      </c>
      <c r="M9" s="16">
        <f>L9/10</f>
        <v>2.5059249</v>
      </c>
      <c r="N9" s="16">
        <f>POWER(B9-$M9,2)</f>
        <v>0.00452752691161</v>
      </c>
      <c r="O9" s="16">
        <f>POWER(C9-$M9,2)</f>
        <v>0.00502736303521</v>
      </c>
      <c r="P9" s="16">
        <f>POWER(D9-$M9,2)</f>
        <v>0.00037240894441</v>
      </c>
      <c r="Q9" s="16">
        <f>POWER(E9-$M9,2)</f>
        <v>0.00187384228641</v>
      </c>
      <c r="R9" s="16">
        <f>POWER(F9-$M9,2)</f>
        <v>0.00114662827161</v>
      </c>
      <c r="S9" s="16">
        <f>POWER(G9-$M9,2)</f>
        <v>0.01112225453641</v>
      </c>
      <c r="T9" s="16">
        <f>POWER(H9-$M9,2)</f>
        <v>0.00057835921081</v>
      </c>
      <c r="U9" s="16">
        <f>POWER(I9-$M9,2)</f>
        <v>0.04612318912161</v>
      </c>
      <c r="V9" s="16">
        <f>POWER(J9-$M9,2)</f>
        <v>5.093534161e-05</v>
      </c>
      <c r="W9" s="16">
        <f>POWER(K9-$M9,2)</f>
        <v>0.01050602450121</v>
      </c>
      <c r="X9" s="16">
        <f>SQRT(SUM(N9:W9)/9)</f>
        <v>0.0950605258423986</v>
      </c>
      <c r="Y9" s="16">
        <f>M9+X9/SQRT(10)*$Y$11</f>
        <v>2.57386225765517</v>
      </c>
      <c r="Z9" s="16">
        <f>M9-X9*$Y$11/SQRT(10)</f>
        <v>2.43798754234483</v>
      </c>
      <c r="AA9" s="16">
        <f>Y9-M9</f>
        <v>0.06793735765517001</v>
      </c>
    </row>
    <row r="10" ht="20.05" customHeight="1">
      <c r="A10" s="17"/>
      <c r="B10" s="18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 ht="44.05" customHeight="1">
      <c r="A11" s="17"/>
      <c r="B11" s="18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t="s" s="20">
        <v>29</v>
      </c>
      <c r="Y11" s="21">
        <v>2.26</v>
      </c>
      <c r="Z11" s="22"/>
      <c r="AA11" s="22"/>
    </row>
  </sheetData>
  <mergeCells count="1">
    <mergeCell ref="A1:AA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A1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4.7188" style="23" customWidth="1"/>
    <col min="2" max="23" width="8.60156" style="23" customWidth="1"/>
    <col min="24" max="24" width="18.2422" style="23" customWidth="1"/>
    <col min="25" max="25" width="12.4453" style="23" customWidth="1"/>
    <col min="26" max="26" width="12.7656" style="23" customWidth="1"/>
    <col min="27" max="27" width="16.3516" style="23" customWidth="1"/>
    <col min="28" max="16384" width="16.3516" style="23" customWidth="1"/>
  </cols>
  <sheetData>
    <row r="1" ht="27.65" customHeight="1">
      <c r="A1" t="s" s="7">
        <v>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ht="44.25" customHeight="1">
      <c r="A2" s="8"/>
      <c r="B2" s="9">
        <v>1</v>
      </c>
      <c r="C2" s="9">
        <v>2</v>
      </c>
      <c r="D2" s="9">
        <v>3</v>
      </c>
      <c r="E2" s="9">
        <v>4</v>
      </c>
      <c r="F2" s="9">
        <v>5</v>
      </c>
      <c r="G2" s="9">
        <v>6</v>
      </c>
      <c r="H2" s="9">
        <v>7</v>
      </c>
      <c r="I2" s="9">
        <v>8</v>
      </c>
      <c r="J2" s="9">
        <v>9</v>
      </c>
      <c r="K2" s="9">
        <v>10</v>
      </c>
      <c r="L2" t="s" s="10">
        <v>6</v>
      </c>
      <c r="M2" t="s" s="10">
        <v>7</v>
      </c>
      <c r="N2" t="s" s="10">
        <v>8</v>
      </c>
      <c r="O2" t="s" s="10">
        <v>9</v>
      </c>
      <c r="P2" t="s" s="10">
        <v>10</v>
      </c>
      <c r="Q2" t="s" s="10">
        <v>11</v>
      </c>
      <c r="R2" t="s" s="10">
        <v>12</v>
      </c>
      <c r="S2" t="s" s="10">
        <v>13</v>
      </c>
      <c r="T2" t="s" s="10">
        <v>14</v>
      </c>
      <c r="U2" t="s" s="10">
        <v>15</v>
      </c>
      <c r="V2" t="s" s="10">
        <v>16</v>
      </c>
      <c r="W2" t="s" s="10">
        <v>17</v>
      </c>
      <c r="X2" t="s" s="10">
        <v>18</v>
      </c>
      <c r="Y2" t="s" s="10">
        <v>19</v>
      </c>
      <c r="Z2" t="s" s="10">
        <v>20</v>
      </c>
      <c r="AA2" t="s" s="10">
        <v>21</v>
      </c>
    </row>
    <row r="3" ht="20.25" customHeight="1">
      <c r="A3" t="s" s="11">
        <v>22</v>
      </c>
      <c r="B3" s="12">
        <v>0.06446200000000001</v>
      </c>
      <c r="C3" s="13">
        <v>0.05804</v>
      </c>
      <c r="D3" s="13">
        <v>0.065889</v>
      </c>
      <c r="E3" s="13">
        <v>0.057405</v>
      </c>
      <c r="F3" s="13">
        <v>0.058883</v>
      </c>
      <c r="G3" s="13">
        <v>0.058946</v>
      </c>
      <c r="H3" s="13">
        <v>0.058322</v>
      </c>
      <c r="I3" s="13">
        <v>0.057731</v>
      </c>
      <c r="J3" s="13">
        <v>0.058285</v>
      </c>
      <c r="K3" s="13">
        <v>0.059123</v>
      </c>
      <c r="L3" s="13">
        <f>SUM(B3:K3)</f>
        <v>0.597086</v>
      </c>
      <c r="M3" s="13">
        <f>L3/10</f>
        <v>0.0597086</v>
      </c>
      <c r="N3" s="13">
        <f>POWER(B3-$M3,2)</f>
        <v>2.259481156e-05</v>
      </c>
      <c r="O3" s="13">
        <f>POWER(C3-$M3,2)</f>
        <v>2.78422596e-06</v>
      </c>
      <c r="P3" s="13">
        <f>POWER(D3-$M3,2)</f>
        <v>3.819734416e-05</v>
      </c>
      <c r="Q3" s="13">
        <f>POWER(E3-$M3,2)</f>
        <v>5.30657296e-06</v>
      </c>
      <c r="R3" s="13">
        <f>POWER(F3-$M3,2)</f>
        <v>0.000000681615</v>
      </c>
      <c r="S3" s="13">
        <f>POWER(G3-$M3,2)</f>
        <v>0.000000581559</v>
      </c>
      <c r="T3" s="13">
        <f>POWER(H3-$M3,2)</f>
        <v>1.92265956e-06</v>
      </c>
      <c r="U3" s="13">
        <f>POWER(I3-$M3,2)</f>
        <v>3.91090176e-06</v>
      </c>
      <c r="V3" s="13">
        <f>POWER(J3-$M3,2)</f>
        <v>2.02663696e-06</v>
      </c>
      <c r="W3" s="13">
        <f>POWER(K3-$M3,2)</f>
        <v>0.000000342927</v>
      </c>
      <c r="X3" s="13">
        <f>SQRT(SUM(N3:W3)/9)</f>
        <v>0.00295050380632039</v>
      </c>
      <c r="Y3" s="13">
        <f>M3+X3/SQRT(10)*$Y$11</f>
        <v>0.0618172505736909</v>
      </c>
      <c r="Z3" s="13">
        <f>M3-X3*$Y$11/SQRT(10)</f>
        <v>0.0575999494263091</v>
      </c>
      <c r="AA3" s="13">
        <f>Y3-M3</f>
        <v>0.0021086505736909</v>
      </c>
    </row>
    <row r="4" ht="20.05" customHeight="1">
      <c r="A4" t="s" s="14">
        <v>23</v>
      </c>
      <c r="B4" s="15">
        <v>0.042021</v>
      </c>
      <c r="C4" s="16">
        <v>0.034332</v>
      </c>
      <c r="D4" s="16">
        <v>0.034653</v>
      </c>
      <c r="E4" s="16">
        <v>0.034404</v>
      </c>
      <c r="F4" s="16">
        <v>0.03526</v>
      </c>
      <c r="G4" s="16">
        <v>0.034294</v>
      </c>
      <c r="H4" s="16">
        <v>0.035029</v>
      </c>
      <c r="I4" s="16">
        <v>0.034616</v>
      </c>
      <c r="J4" s="16">
        <v>0.034143</v>
      </c>
      <c r="K4" s="16">
        <v>0.034493</v>
      </c>
      <c r="L4" s="16">
        <f>SUM(B4:K4)</f>
        <v>0.353245</v>
      </c>
      <c r="M4" s="16">
        <f>L4/10</f>
        <v>0.0353245</v>
      </c>
      <c r="N4" s="16">
        <f>POWER(B4-$M4,2)</f>
        <v>4.484311225e-05</v>
      </c>
      <c r="O4" s="16">
        <f>POWER(C4-$M4,2)</f>
        <v>0.000000985056</v>
      </c>
      <c r="P4" s="16">
        <f>POWER(D4-$M4,2)</f>
        <v>0.000000450912</v>
      </c>
      <c r="Q4" s="16">
        <f>POWER(E4-$M4,2)</f>
        <v>0.000000847320</v>
      </c>
      <c r="R4" s="16">
        <f>POWER(F4-$M4,2)</f>
        <v>4.16025e-09</v>
      </c>
      <c r="S4" s="16">
        <f>POWER(G4-$M4,2)</f>
        <v>1.06193025e-06</v>
      </c>
      <c r="T4" s="16">
        <f>POWER(H4-$M4,2)</f>
        <v>8.732025e-08</v>
      </c>
      <c r="U4" s="16">
        <f>POWER(I4-$M4,2)</f>
        <v>0.000000501972</v>
      </c>
      <c r="V4" s="16">
        <f>POWER(J4-$M4,2)</f>
        <v>1.39594225e-06</v>
      </c>
      <c r="W4" s="16">
        <f>POWER(K4-$M4,2)</f>
        <v>0.000000691392</v>
      </c>
      <c r="X4" s="16">
        <f>SQRT(SUM(N4:W4)/9)</f>
        <v>0.00237741966799675</v>
      </c>
      <c r="Y4" s="16">
        <f>M4+X4/SQRT(10)*$Y$11</f>
        <v>0.0370235818097189</v>
      </c>
      <c r="Z4" s="16">
        <f>M4-X4*$Y$11/SQRT(10)</f>
        <v>0.0336254181902811</v>
      </c>
      <c r="AA4" s="16">
        <f>Y4-M4</f>
        <v>0.0016990818097189</v>
      </c>
    </row>
    <row r="5" ht="20.05" customHeight="1">
      <c r="A5" t="s" s="14">
        <v>24</v>
      </c>
      <c r="B5" s="15">
        <v>0.033476</v>
      </c>
      <c r="C5" s="16">
        <v>0.022695</v>
      </c>
      <c r="D5" s="16">
        <v>0.023536</v>
      </c>
      <c r="E5" s="16">
        <v>0.022838</v>
      </c>
      <c r="F5" s="16">
        <v>0.025213</v>
      </c>
      <c r="G5" s="16">
        <v>0.023665</v>
      </c>
      <c r="H5" s="16">
        <v>0.027591</v>
      </c>
      <c r="I5" s="16">
        <v>0.023899</v>
      </c>
      <c r="J5" s="16">
        <v>0.024654</v>
      </c>
      <c r="K5" s="16">
        <v>0.024303</v>
      </c>
      <c r="L5" s="16">
        <f>SUM(B5:K5)</f>
        <v>0.25187</v>
      </c>
      <c r="M5" s="16">
        <f>L5/10</f>
        <v>0.025187</v>
      </c>
      <c r="N5" s="16">
        <f>POWER(B5-$M5,2)</f>
        <v>0.000068707521</v>
      </c>
      <c r="O5" s="16">
        <f>POWER(C5-$M5,2)</f>
        <v>6.210064e-06</v>
      </c>
      <c r="P5" s="16">
        <f>POWER(D5-$M5,2)</f>
        <v>2.725801e-06</v>
      </c>
      <c r="Q5" s="16">
        <f>POWER(E5-$M5,2)</f>
        <v>5.517801e-06</v>
      </c>
      <c r="R5" s="16">
        <f>POWER(F5-$M5,2)</f>
        <v>6.76e-10</v>
      </c>
      <c r="S5" s="16">
        <f>POWER(G5-$M5,2)</f>
        <v>2.316484e-06</v>
      </c>
      <c r="T5" s="16">
        <f>POWER(H5-$M5,2)</f>
        <v>5.779216e-06</v>
      </c>
      <c r="U5" s="16">
        <f>POWER(I5-$M5,2)</f>
        <v>1.658944e-06</v>
      </c>
      <c r="V5" s="16">
        <f>POWER(J5-$M5,2)</f>
        <v>2.84089e-07</v>
      </c>
      <c r="W5" s="16">
        <f>POWER(K5-$M5,2)</f>
        <v>7.81456e-07</v>
      </c>
      <c r="X5" s="16">
        <f>SQRT(SUM(N5:W5)/9)</f>
        <v>0.00323147802440651</v>
      </c>
      <c r="Y5" s="16">
        <f>M5+X5/SQRT(10)*$Y$11</f>
        <v>0.0274964557530947</v>
      </c>
      <c r="Z5" s="16">
        <f>M5-X5*$Y$11/SQRT(10)</f>
        <v>0.0228775442469053</v>
      </c>
      <c r="AA5" s="16">
        <f>Y5-M5</f>
        <v>0.0023094557530947</v>
      </c>
    </row>
    <row r="6" ht="20.05" customHeight="1">
      <c r="A6" t="s" s="14">
        <v>25</v>
      </c>
      <c r="B6" s="15">
        <v>0.01459</v>
      </c>
      <c r="C6" s="16">
        <v>0.013376</v>
      </c>
      <c r="D6" s="16">
        <v>0.011604</v>
      </c>
      <c r="E6" s="16">
        <v>0.012351</v>
      </c>
      <c r="F6" s="16">
        <v>0.011975</v>
      </c>
      <c r="G6" s="16">
        <v>0.013754</v>
      </c>
      <c r="H6" s="16">
        <v>0.017648</v>
      </c>
      <c r="I6" s="16">
        <v>0.013139</v>
      </c>
      <c r="J6" s="16">
        <v>0.011861</v>
      </c>
      <c r="K6" s="16">
        <v>0.012565</v>
      </c>
      <c r="L6" s="16">
        <f>SUM(B6:K6)</f>
        <v>0.132863</v>
      </c>
      <c r="M6" s="16">
        <f>L6/10</f>
        <v>0.0132863</v>
      </c>
      <c r="N6" s="16">
        <f>POWER(B6-$M6,2)</f>
        <v>1.69963369e-06</v>
      </c>
      <c r="O6" s="16">
        <f>POWER(C6-$M6,2)</f>
        <v>8.04609e-09</v>
      </c>
      <c r="P6" s="16">
        <f>POWER(D6-$M6,2)</f>
        <v>2.83013329e-06</v>
      </c>
      <c r="Q6" s="16">
        <f>POWER(E6-$M6,2)</f>
        <v>0.000000874786</v>
      </c>
      <c r="R6" s="16">
        <f>POWER(F6-$M6,2)</f>
        <v>1.71950769e-06</v>
      </c>
      <c r="S6" s="16">
        <f>POWER(G6-$M6,2)</f>
        <v>0.000000218743</v>
      </c>
      <c r="T6" s="16">
        <f>POWER(H6-$M6,2)</f>
        <v>1.902442689e-05</v>
      </c>
      <c r="U6" s="16">
        <f>POWER(I6-$M6,2)</f>
        <v>2.169729e-08</v>
      </c>
      <c r="V6" s="16">
        <f>POWER(J6-$M6,2)</f>
        <v>2.03148009e-06</v>
      </c>
      <c r="W6" s="16">
        <f>POWER(K6-$M6,2)</f>
        <v>0.000000520274</v>
      </c>
      <c r="X6" s="16">
        <f>SQRT(SUM(N6:W6)/9)</f>
        <v>0.00179346740824707</v>
      </c>
      <c r="Y6" s="16">
        <f>M6+X6/SQRT(10)*$Y$11</f>
        <v>0.0145680458737708</v>
      </c>
      <c r="Z6" s="16">
        <f>M6-X6*$Y$11/SQRT(10)</f>
        <v>0.0120045541262292</v>
      </c>
      <c r="AA6" s="16">
        <f>Y6-M6</f>
        <v>0.0012817458737708</v>
      </c>
    </row>
    <row r="7" ht="20.05" customHeight="1">
      <c r="A7" t="s" s="14">
        <v>26</v>
      </c>
      <c r="B7" s="15">
        <v>0.013943</v>
      </c>
      <c r="C7" s="16">
        <v>0.012535</v>
      </c>
      <c r="D7" s="16">
        <v>0.012082</v>
      </c>
      <c r="E7" s="16">
        <v>0.013333</v>
      </c>
      <c r="F7" s="16">
        <v>0.011974</v>
      </c>
      <c r="G7" s="16">
        <v>0.012654</v>
      </c>
      <c r="H7" s="16">
        <v>0.020378</v>
      </c>
      <c r="I7" s="16">
        <v>0.012595</v>
      </c>
      <c r="J7" s="16">
        <v>0.012075</v>
      </c>
      <c r="K7" s="16">
        <v>0.011875</v>
      </c>
      <c r="L7" s="16">
        <f>SUM(B7:K7)</f>
        <v>0.133444</v>
      </c>
      <c r="M7" s="16">
        <f>L7/10</f>
        <v>0.0133444</v>
      </c>
      <c r="N7" s="16">
        <f>POWER(B7-$M7,2)</f>
        <v>0.000000358322</v>
      </c>
      <c r="O7" s="16">
        <f>POWER(C7-$M7,2)</f>
        <v>6.551283600000001e-07</v>
      </c>
      <c r="P7" s="16">
        <f>POWER(D7-$M7,2)</f>
        <v>1.59365376e-06</v>
      </c>
      <c r="Q7" s="16">
        <f>POWER(E7-$M7,2)</f>
        <v>1.2996e-10</v>
      </c>
      <c r="R7" s="16">
        <f>POWER(F7-$M7,2)</f>
        <v>1.87799616e-06</v>
      </c>
      <c r="S7" s="16">
        <f>POWER(G7-$M7,2)</f>
        <v>0.000000476652</v>
      </c>
      <c r="T7" s="16">
        <f>POWER(H7-$M7,2)</f>
        <v>4.947152896e-05</v>
      </c>
      <c r="U7" s="16">
        <f>POWER(I7-$M7,2)</f>
        <v>0.000000561600</v>
      </c>
      <c r="V7" s="16">
        <f>POWER(J7-$M7,2)</f>
        <v>1.61137636e-06</v>
      </c>
      <c r="W7" s="16">
        <f>POWER(K7-$M7,2)</f>
        <v>2.15913636e-06</v>
      </c>
      <c r="X7" s="16">
        <f>SQRT(SUM(N7:W7)/9)</f>
        <v>0.00255528916389342</v>
      </c>
      <c r="Y7" s="16">
        <f>M7+X7/SQRT(10)*$Y$11</f>
        <v>0.0151706006474446</v>
      </c>
      <c r="Z7" s="16">
        <f>M7-X7*$Y$11/SQRT(10)</f>
        <v>0.0115181993525554</v>
      </c>
      <c r="AA7" s="16">
        <f>Y7-M7</f>
        <v>0.0018262006474446</v>
      </c>
    </row>
    <row r="8" ht="20.05" customHeight="1">
      <c r="A8" t="s" s="14">
        <v>27</v>
      </c>
      <c r="B8" s="15">
        <v>0.013946</v>
      </c>
      <c r="C8" s="16">
        <v>0.012618</v>
      </c>
      <c r="D8" s="16">
        <v>0.012121</v>
      </c>
      <c r="E8" s="16">
        <v>0.012024</v>
      </c>
      <c r="F8" s="16">
        <v>0.012366</v>
      </c>
      <c r="G8" s="16">
        <v>0.011598</v>
      </c>
      <c r="H8" s="16">
        <v>0.014385</v>
      </c>
      <c r="I8" s="16">
        <v>0.013985</v>
      </c>
      <c r="J8" s="16">
        <v>0.012309</v>
      </c>
      <c r="K8" s="16">
        <v>0.012669</v>
      </c>
      <c r="L8" s="16">
        <f>SUM(B8:K8)</f>
        <v>0.128021</v>
      </c>
      <c r="M8" s="16">
        <f>L8/10</f>
        <v>0.0128021</v>
      </c>
      <c r="N8" s="16">
        <f>POWER(B8-$M8,2)</f>
        <v>1.30850721e-06</v>
      </c>
      <c r="O8" s="16">
        <f>POWER(C8-$M8,2)</f>
        <v>3.389281e-08</v>
      </c>
      <c r="P8" s="16">
        <f>POWER(D8-$M8,2)</f>
        <v>0.000000463897</v>
      </c>
      <c r="Q8" s="16">
        <f>POWER(E8-$M8,2)</f>
        <v>0.000000605440</v>
      </c>
      <c r="R8" s="16">
        <f>POWER(F8-$M8,2)</f>
        <v>0.000000190183</v>
      </c>
      <c r="S8" s="16">
        <f>POWER(G8-$M8,2)</f>
        <v>1.44985681e-06</v>
      </c>
      <c r="T8" s="16">
        <f>POWER(H8-$M8,2)</f>
        <v>2.50557241e-06</v>
      </c>
      <c r="U8" s="16">
        <f>POWER(I8-$M8,2)</f>
        <v>1.39925241e-06</v>
      </c>
      <c r="V8" s="16">
        <f>POWER(J8-$M8,2)</f>
        <v>0.000000243148</v>
      </c>
      <c r="W8" s="16">
        <f>POWER(K8-$M8,2)</f>
        <v>1.771561e-08</v>
      </c>
      <c r="X8" s="16">
        <f>SQRT(SUM(N8:W8)/9)</f>
        <v>0.000955537364813933</v>
      </c>
      <c r="Y8" s="16">
        <f>M8+X8/SQRT(10)*$Y$11</f>
        <v>0.0134849984284588</v>
      </c>
      <c r="Z8" s="16">
        <f>M8-X8*$Y$11/SQRT(10)</f>
        <v>0.0121192015715412</v>
      </c>
      <c r="AA8" s="16">
        <f>Y8-M8</f>
        <v>0.0006828984284588</v>
      </c>
    </row>
    <row r="9" ht="20.05" customHeight="1">
      <c r="A9" t="s" s="14">
        <v>28</v>
      </c>
      <c r="B9" s="15">
        <v>0.040176</v>
      </c>
      <c r="C9" s="16">
        <v>0.051495</v>
      </c>
      <c r="D9" s="16">
        <v>0.039608</v>
      </c>
      <c r="E9" s="16">
        <v>0.048297</v>
      </c>
      <c r="F9" s="16">
        <v>0.042085</v>
      </c>
      <c r="G9" s="16">
        <v>0.041491</v>
      </c>
      <c r="H9" s="16">
        <v>0.040777</v>
      </c>
      <c r="I9" s="16">
        <v>0.041962</v>
      </c>
      <c r="J9" s="16">
        <v>0.041853</v>
      </c>
      <c r="K9" s="16">
        <v>0.043341</v>
      </c>
      <c r="L9" s="16">
        <f>SUM(B9:K9)</f>
        <v>0.431085</v>
      </c>
      <c r="M9" s="16">
        <f>L9/10</f>
        <v>0.0431085</v>
      </c>
      <c r="N9" s="16">
        <f>POWER(B9-$M9,2)</f>
        <v>8.59955625e-06</v>
      </c>
      <c r="O9" s="16">
        <f>POWER(C9-$M9,2)</f>
        <v>7.033338225e-05</v>
      </c>
      <c r="P9" s="16">
        <f>POWER(D9-$M9,2)</f>
        <v>1.225350025e-05</v>
      </c>
      <c r="Q9" s="16">
        <f>POWER(E9-$M9,2)</f>
        <v>2.692053225e-05</v>
      </c>
      <c r="R9" s="16">
        <f>POWER(F9-$M9,2)</f>
        <v>1.04755225e-06</v>
      </c>
      <c r="S9" s="16">
        <f>POWER(G9-$M9,2)</f>
        <v>2.61630625e-06</v>
      </c>
      <c r="T9" s="16">
        <f>POWER(H9-$M9,2)</f>
        <v>5.43589225e-06</v>
      </c>
      <c r="U9" s="16">
        <f>POWER(I9-$M9,2)</f>
        <v>1.31446225e-06</v>
      </c>
      <c r="V9" s="16">
        <f>POWER(J9-$M9,2)</f>
        <v>1.57628025e-06</v>
      </c>
      <c r="W9" s="16">
        <f>POWER(K9-$M9,2)</f>
        <v>5.405625e-08</v>
      </c>
      <c r="X9" s="16">
        <f>SQRT(SUM(N9:W9)/9)</f>
        <v>0.00380279897648503</v>
      </c>
      <c r="Y9" s="16">
        <f>M9+X9/SQRT(10)*$Y$11</f>
        <v>0.0458262644123757</v>
      </c>
      <c r="Z9" s="16">
        <f>M9-X9*$Y$11/SQRT(10)</f>
        <v>0.0403907355876243</v>
      </c>
      <c r="AA9" s="16">
        <f>Y9-M9</f>
        <v>0.0027177644123757</v>
      </c>
    </row>
    <row r="10" ht="20.05" customHeight="1">
      <c r="A10" s="17"/>
      <c r="B10" s="18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 ht="44.05" customHeight="1">
      <c r="A11" s="17"/>
      <c r="B11" s="18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t="s" s="20">
        <v>29</v>
      </c>
      <c r="Y11" s="21">
        <v>2.26</v>
      </c>
      <c r="Z11" s="22"/>
      <c r="AA11" s="19"/>
    </row>
    <row r="12" ht="20.05" customHeight="1">
      <c r="A12" s="17"/>
      <c r="B12" s="18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</row>
    <row r="13" ht="20.05" customHeight="1">
      <c r="A13" s="17"/>
      <c r="B13" s="18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</row>
  </sheetData>
  <mergeCells count="1">
    <mergeCell ref="A1:AA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A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2.9297" style="24" customWidth="1"/>
    <col min="2" max="27" width="8.0625" style="24" customWidth="1"/>
    <col min="28" max="16384" width="16.3516" style="24" customWidth="1"/>
  </cols>
  <sheetData>
    <row r="1" ht="27.65" customHeight="1">
      <c r="A1" t="s" s="7">
        <v>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ht="56.25" customHeight="1">
      <c r="A2" s="8"/>
      <c r="B2" s="9">
        <v>1</v>
      </c>
      <c r="C2" s="9">
        <v>2</v>
      </c>
      <c r="D2" s="9">
        <v>3</v>
      </c>
      <c r="E2" s="9">
        <v>4</v>
      </c>
      <c r="F2" s="9">
        <v>5</v>
      </c>
      <c r="G2" s="9">
        <v>6</v>
      </c>
      <c r="H2" s="9">
        <v>7</v>
      </c>
      <c r="I2" s="9">
        <v>8</v>
      </c>
      <c r="J2" s="9">
        <v>9</v>
      </c>
      <c r="K2" s="9">
        <v>10</v>
      </c>
      <c r="L2" t="s" s="10">
        <v>6</v>
      </c>
      <c r="M2" t="s" s="10">
        <v>7</v>
      </c>
      <c r="N2" t="s" s="10">
        <v>8</v>
      </c>
      <c r="O2" t="s" s="10">
        <v>9</v>
      </c>
      <c r="P2" t="s" s="10">
        <v>10</v>
      </c>
      <c r="Q2" t="s" s="10">
        <v>11</v>
      </c>
      <c r="R2" t="s" s="10">
        <v>12</v>
      </c>
      <c r="S2" t="s" s="10">
        <v>13</v>
      </c>
      <c r="T2" t="s" s="10">
        <v>14</v>
      </c>
      <c r="U2" t="s" s="10">
        <v>15</v>
      </c>
      <c r="V2" t="s" s="10">
        <v>16</v>
      </c>
      <c r="W2" t="s" s="10">
        <v>17</v>
      </c>
      <c r="X2" t="s" s="10">
        <v>18</v>
      </c>
      <c r="Y2" t="s" s="10">
        <v>19</v>
      </c>
      <c r="Z2" t="s" s="10">
        <v>20</v>
      </c>
      <c r="AA2" t="s" s="10">
        <v>21</v>
      </c>
    </row>
    <row r="3" ht="20.25" customHeight="1">
      <c r="A3" t="s" s="11">
        <v>22</v>
      </c>
      <c r="B3" s="12">
        <v>0.180821</v>
      </c>
      <c r="C3" s="13">
        <v>0.18221</v>
      </c>
      <c r="D3" s="13">
        <v>0.184547</v>
      </c>
      <c r="E3" s="13">
        <v>0.195399</v>
      </c>
      <c r="F3" s="13">
        <v>0.180205</v>
      </c>
      <c r="G3" s="13">
        <v>0.182428</v>
      </c>
      <c r="H3" s="13">
        <v>0.181708</v>
      </c>
      <c r="I3" s="13">
        <v>0.205046</v>
      </c>
      <c r="J3" s="13">
        <v>0.204248</v>
      </c>
      <c r="K3" s="13">
        <v>0.192443</v>
      </c>
      <c r="L3" s="13">
        <f>SUM(B3:K3)</f>
        <v>1.889055</v>
      </c>
      <c r="M3" s="13">
        <f>L3/10</f>
        <v>0.1889055</v>
      </c>
      <c r="N3" s="13">
        <f>POWER(B3-$M3,2)</f>
        <v>6.535914025e-05</v>
      </c>
      <c r="O3" s="13">
        <f>POWER(C3-$M3,2)</f>
        <v>4.482972025e-05</v>
      </c>
      <c r="P3" s="13">
        <f>POWER(D3-$M3,2)</f>
        <v>1.899652225e-05</v>
      </c>
      <c r="Q3" s="13">
        <f>POWER(E3-$M3,2)</f>
        <v>4.216554225e-05</v>
      </c>
      <c r="R3" s="13">
        <f>POWER(F3-$M3,2)</f>
        <v>7.569870025e-05</v>
      </c>
      <c r="S3" s="13">
        <f>POWER(G3-$M3,2)</f>
        <v>4.195800625e-05</v>
      </c>
      <c r="T3" s="13">
        <f>POWER(H3-$M3,2)</f>
        <v>5.180400625e-05</v>
      </c>
      <c r="U3" s="13">
        <f>POWER(I3-$M3,2)</f>
        <v>0.00026051574025</v>
      </c>
      <c r="V3" s="13">
        <f>POWER(J3-$M3,2)</f>
        <v>0.00023539230625</v>
      </c>
      <c r="W3" s="13">
        <f>POWER(K3-$M3,2)</f>
        <v>1.251390625e-05</v>
      </c>
      <c r="X3" s="13">
        <f>SQRT(SUM(N3:W3)/9)</f>
        <v>0.009713870898531299</v>
      </c>
      <c r="Y3" s="13">
        <f>M3+X3/SQRT(10)*$Y$11</f>
        <v>0.195847758267578</v>
      </c>
      <c r="Z3" s="13">
        <f>M3-X3*$Y$11/SQRT(10)</f>
        <v>0.181963241732422</v>
      </c>
      <c r="AA3" s="13">
        <f>Y3-M3</f>
        <v>0.006942258267578</v>
      </c>
    </row>
    <row r="4" ht="20.05" customHeight="1">
      <c r="A4" t="s" s="14">
        <v>23</v>
      </c>
      <c r="B4" s="15">
        <v>0.08241900000000001</v>
      </c>
      <c r="C4" s="16">
        <v>0.082091</v>
      </c>
      <c r="D4" s="16">
        <v>0.081967</v>
      </c>
      <c r="E4" s="16">
        <v>0.081917</v>
      </c>
      <c r="F4" s="16">
        <v>0.082943</v>
      </c>
      <c r="G4" s="16">
        <v>0.083801</v>
      </c>
      <c r="H4" s="16">
        <v>0.08534700000000001</v>
      </c>
      <c r="I4" s="16">
        <v>0.083408</v>
      </c>
      <c r="J4" s="16">
        <v>0.082909</v>
      </c>
      <c r="K4" s="16">
        <v>0.083344</v>
      </c>
      <c r="L4" s="16">
        <f>SUM(B4:K4)</f>
        <v>0.8301460000000001</v>
      </c>
      <c r="M4" s="16">
        <f>L4/10</f>
        <v>0.08301459999999999</v>
      </c>
      <c r="N4" s="16">
        <f>POWER(B4-$M4,2)</f>
        <v>0.000000354739</v>
      </c>
      <c r="O4" s="16">
        <f>POWER(C4-$M4,2)</f>
        <v>0.000000853037</v>
      </c>
      <c r="P4" s="16">
        <f>POWER(D4-$M4,2)</f>
        <v>1.09746576e-06</v>
      </c>
      <c r="Q4" s="16">
        <f>POWER(E4-$M4,2)</f>
        <v>1.20472576e-06</v>
      </c>
      <c r="R4" s="16">
        <f>POWER(F4-$M4,2)</f>
        <v>5.12656e-09</v>
      </c>
      <c r="S4" s="16">
        <f>POWER(G4-$M4,2)</f>
        <v>0.000000618425</v>
      </c>
      <c r="T4" s="16">
        <f>POWER(H4-$M4,2)</f>
        <v>5.44008976e-06</v>
      </c>
      <c r="U4" s="16">
        <f>POWER(I4-$M4,2)</f>
        <v>0.000000154764</v>
      </c>
      <c r="V4" s="16">
        <f>POWER(J4-$M4,2)</f>
        <v>1.115136e-08</v>
      </c>
      <c r="W4" s="16">
        <f>POWER(K4-$M4,2)</f>
        <v>0.000000108504</v>
      </c>
      <c r="X4" s="16">
        <f>SQRT(SUM(N4:W4)/9)</f>
        <v>0.00104605228252596</v>
      </c>
      <c r="Y4" s="16">
        <f>M4+X4/SQRT(10)*$Y$11</f>
        <v>0.08376218715475441</v>
      </c>
      <c r="Z4" s="16">
        <f>M4-X4*$Y$11/SQRT(10)</f>
        <v>0.0822670128452456</v>
      </c>
      <c r="AA4" s="16">
        <f>Y4-M4</f>
        <v>0.0007475871547544</v>
      </c>
    </row>
    <row r="5" ht="20.05" customHeight="1">
      <c r="A5" t="s" s="14">
        <v>24</v>
      </c>
      <c r="B5" s="15">
        <v>0.042238</v>
      </c>
      <c r="C5" s="16">
        <v>0.040958</v>
      </c>
      <c r="D5" s="16">
        <v>0.041699</v>
      </c>
      <c r="E5" s="16">
        <v>0.042276</v>
      </c>
      <c r="F5" s="16">
        <v>0.04252</v>
      </c>
      <c r="G5" s="16">
        <v>0.042712</v>
      </c>
      <c r="H5" s="16">
        <v>0.041789</v>
      </c>
      <c r="I5" s="16">
        <v>0.041675</v>
      </c>
      <c r="J5" s="16">
        <v>0.042214</v>
      </c>
      <c r="K5" s="16">
        <v>0.046813</v>
      </c>
      <c r="L5" s="16">
        <f>SUM(B5:K5)</f>
        <v>0.424894</v>
      </c>
      <c r="M5" s="16">
        <f>L5/10</f>
        <v>0.0424894</v>
      </c>
      <c r="N5" s="16">
        <f>POWER(B5-$M5,2)</f>
        <v>6.320196e-08</v>
      </c>
      <c r="O5" s="16">
        <f>POWER(C5-$M5,2)</f>
        <v>2.34518596e-06</v>
      </c>
      <c r="P5" s="16">
        <f>POWER(D5-$M5,2)</f>
        <v>0.000000624732</v>
      </c>
      <c r="Q5" s="16">
        <f>POWER(E5-$M5,2)</f>
        <v>4.553956e-08</v>
      </c>
      <c r="R5" s="16">
        <f>POWER(F5-$M5,2)</f>
        <v>9.363600000000001e-10</v>
      </c>
      <c r="S5" s="16">
        <f>POWER(G5-$M5,2)</f>
        <v>4.955076e-08</v>
      </c>
      <c r="T5" s="16">
        <f>POWER(H5-$M5,2)</f>
        <v>0.000000490560</v>
      </c>
      <c r="U5" s="16">
        <f>POWER(I5-$M5,2)</f>
        <v>0.000000663247</v>
      </c>
      <c r="V5" s="16">
        <f>POWER(J5-$M5,2)</f>
        <v>7.584516e-08</v>
      </c>
      <c r="W5" s="16">
        <f>POWER(K5-$M5,2)</f>
        <v>1.869351696e-05</v>
      </c>
      <c r="X5" s="16">
        <f>SQRT(SUM(N5:W5)/9)</f>
        <v>0.00160042759564089</v>
      </c>
      <c r="Y5" s="16">
        <f>M5+X5/SQRT(10)*$Y$11</f>
        <v>0.0436331851937252</v>
      </c>
      <c r="Z5" s="16">
        <f>M5-X5*$Y$11/SQRT(10)</f>
        <v>0.0413456148062748</v>
      </c>
      <c r="AA5" s="16">
        <f>Y5-M5</f>
        <v>0.0011437851937252</v>
      </c>
    </row>
    <row r="6" ht="20.05" customHeight="1">
      <c r="A6" t="s" s="14">
        <v>25</v>
      </c>
      <c r="B6" s="15">
        <v>0.043832</v>
      </c>
      <c r="C6" s="16">
        <v>0.045323</v>
      </c>
      <c r="D6" s="16">
        <v>0.04321</v>
      </c>
      <c r="E6" s="16">
        <v>0.040451</v>
      </c>
      <c r="F6" s="16">
        <v>0.044983</v>
      </c>
      <c r="G6" s="16">
        <v>0.038237</v>
      </c>
      <c r="H6" s="16">
        <v>0.045233</v>
      </c>
      <c r="I6" s="16">
        <v>0.041139</v>
      </c>
      <c r="J6" s="16">
        <v>0.040507</v>
      </c>
      <c r="K6" s="16">
        <v>0.044528</v>
      </c>
      <c r="L6" s="16">
        <f>SUM(B6:K6)</f>
        <v>0.427443</v>
      </c>
      <c r="M6" s="16">
        <f>L6/10</f>
        <v>0.0427443</v>
      </c>
      <c r="N6" s="16">
        <f>POWER(B6-$M6,2)</f>
        <v>1.18309129e-06</v>
      </c>
      <c r="O6" s="16">
        <f>POWER(C6-$M6,2)</f>
        <v>6.64969369e-06</v>
      </c>
      <c r="P6" s="16">
        <f>POWER(D6-$M6,2)</f>
        <v>0.000000216876</v>
      </c>
      <c r="Q6" s="16">
        <f>POWER(E6-$M6,2)</f>
        <v>5.25922489e-06</v>
      </c>
      <c r="R6" s="16">
        <f>POWER(F6-$M6,2)</f>
        <v>5.01177769e-06</v>
      </c>
      <c r="S6" s="16">
        <f>POWER(G6-$M6,2)</f>
        <v>2.031575329e-05</v>
      </c>
      <c r="T6" s="16">
        <f>POWER(H6-$M6,2)</f>
        <v>6.19362769e-06</v>
      </c>
      <c r="U6" s="16">
        <f>POWER(I6-$M6,2)</f>
        <v>2.57698809e-06</v>
      </c>
      <c r="V6" s="16">
        <f>POWER(J6-$M6,2)</f>
        <v>5.00551129e-06</v>
      </c>
      <c r="W6" s="16">
        <f>POWER(K6-$M6,2)</f>
        <v>3.18158569e-06</v>
      </c>
      <c r="X6" s="16">
        <f>SQRT(SUM(N6:W6)/9)</f>
        <v>0.00248538237836086</v>
      </c>
      <c r="Y6" s="16">
        <f>M6+X6/SQRT(10)*$Y$11</f>
        <v>0.0445205400328871</v>
      </c>
      <c r="Z6" s="16">
        <f>M6-X6*$Y$11/SQRT(10)</f>
        <v>0.0409680599671129</v>
      </c>
      <c r="AA6" s="16">
        <f>Y6-M6</f>
        <v>0.0017762400328871</v>
      </c>
    </row>
    <row r="7" ht="20.05" customHeight="1">
      <c r="A7" t="s" s="14">
        <v>26</v>
      </c>
      <c r="B7" s="15">
        <v>0.040373</v>
      </c>
      <c r="C7" s="16">
        <v>0.040637</v>
      </c>
      <c r="D7" s="16">
        <v>0.038286</v>
      </c>
      <c r="E7" s="16">
        <v>0.043556</v>
      </c>
      <c r="F7" s="16">
        <v>0.039752</v>
      </c>
      <c r="G7" s="16">
        <v>0.041816</v>
      </c>
      <c r="H7" s="16">
        <v>0.039655</v>
      </c>
      <c r="I7" s="16">
        <v>0.040362</v>
      </c>
      <c r="J7" s="16">
        <v>0.041198</v>
      </c>
      <c r="K7" s="16">
        <v>0.039407</v>
      </c>
      <c r="L7" s="16">
        <f>SUM(B7:K7)</f>
        <v>0.405042</v>
      </c>
      <c r="M7" s="16">
        <f>L7/10</f>
        <v>0.0405042</v>
      </c>
      <c r="N7" s="16">
        <f>POWER(B7-$M7,2)</f>
        <v>1.721344e-08</v>
      </c>
      <c r="O7" s="16">
        <f>POWER(C7-$M7,2)</f>
        <v>1.763584e-08</v>
      </c>
      <c r="P7" s="16">
        <f>POWER(D7-$M7,2)</f>
        <v>4.92041124e-06</v>
      </c>
      <c r="Q7" s="16">
        <f>POWER(E7-$M7,2)</f>
        <v>9.313483239999999e-06</v>
      </c>
      <c r="R7" s="16">
        <f>POWER(F7-$M7,2)</f>
        <v>0.000000565805</v>
      </c>
      <c r="S7" s="16">
        <f>POWER(G7-$M7,2)</f>
        <v>1.72081924e-06</v>
      </c>
      <c r="T7" s="16">
        <f>POWER(H7-$M7,2)</f>
        <v>0.000000721141</v>
      </c>
      <c r="U7" s="16">
        <f>POWER(I7-$M7,2)</f>
        <v>2.022084e-08</v>
      </c>
      <c r="V7" s="16">
        <f>POWER(J7-$M7,2)</f>
        <v>0.000000481358</v>
      </c>
      <c r="W7" s="16">
        <f>POWER(K7-$M7,2)</f>
        <v>1.20384784e-06</v>
      </c>
      <c r="X7" s="16">
        <f>SQRT(SUM(N7:W7)/9)</f>
        <v>0.00145227544066391</v>
      </c>
      <c r="Y7" s="16">
        <f>M7+X7/SQRT(10)*$Y$11</f>
        <v>0.0415421045892275</v>
      </c>
      <c r="Z7" s="16">
        <f>M7-X7*$Y$11/SQRT(10)</f>
        <v>0.0394662954107725</v>
      </c>
      <c r="AA7" s="16">
        <f>Y7-M7</f>
        <v>0.0010379045892275</v>
      </c>
    </row>
    <row r="8" ht="20.05" customHeight="1">
      <c r="A8" t="s" s="14">
        <v>27</v>
      </c>
      <c r="B8" s="15">
        <v>0.039163</v>
      </c>
      <c r="C8" s="16">
        <v>0.038623</v>
      </c>
      <c r="D8" s="16">
        <v>0.039535</v>
      </c>
      <c r="E8" s="16">
        <v>0.039126</v>
      </c>
      <c r="F8" s="16">
        <v>0.038101</v>
      </c>
      <c r="G8" s="16">
        <v>0.038502</v>
      </c>
      <c r="H8" s="16">
        <v>0.038253</v>
      </c>
      <c r="I8" s="16">
        <v>0.03687</v>
      </c>
      <c r="J8" s="16">
        <v>0.038246</v>
      </c>
      <c r="K8" s="16">
        <v>0.039478</v>
      </c>
      <c r="L8" s="16">
        <f>SUM(B8:K8)</f>
        <v>0.385897</v>
      </c>
      <c r="M8" s="16">
        <f>L8/10</f>
        <v>0.0385897</v>
      </c>
      <c r="N8" s="16">
        <f>POWER(B8-$M8,2)</f>
        <v>0.000000328673</v>
      </c>
      <c r="O8" s="16">
        <f>POWER(C8-$M8,2)</f>
        <v>1.10889e-09</v>
      </c>
      <c r="P8" s="16">
        <f>POWER(D8-$M8,2)</f>
        <v>0.000000893592</v>
      </c>
      <c r="Q8" s="16">
        <f>POWER(E8-$M8,2)</f>
        <v>0.000000287618</v>
      </c>
      <c r="R8" s="16">
        <f>POWER(F8-$M8,2)</f>
        <v>0.000000238828</v>
      </c>
      <c r="S8" s="16">
        <f>POWER(G8-$M8,2)</f>
        <v>7.691290000000001e-09</v>
      </c>
      <c r="T8" s="16">
        <f>POWER(H8-$M8,2)</f>
        <v>0.000000113367</v>
      </c>
      <c r="U8" s="16">
        <f>POWER(I8-$M8,2)</f>
        <v>2.95736809e-06</v>
      </c>
      <c r="V8" s="16">
        <f>POWER(J8-$M8,2)</f>
        <v>0.000000118130</v>
      </c>
      <c r="W8" s="16">
        <f>POWER(K8-$M8,2)</f>
        <v>0.000000789077</v>
      </c>
      <c r="X8" s="16">
        <f>SQRT(SUM(N8:W8)/9)</f>
        <v>0.000798293464557712</v>
      </c>
      <c r="Y8" s="16">
        <f>M8+X8/SQRT(10)*$Y$11</f>
        <v>0.0391602201831658</v>
      </c>
      <c r="Z8" s="16">
        <f>M8-X8*$Y$11/SQRT(10)</f>
        <v>0.0380191798168342</v>
      </c>
      <c r="AA8" s="16">
        <f>Y8-M8</f>
        <v>0.0005705201831658001</v>
      </c>
    </row>
    <row r="9" ht="20.05" customHeight="1">
      <c r="A9" t="s" s="14">
        <v>28</v>
      </c>
      <c r="B9" s="15">
        <v>0.044873</v>
      </c>
      <c r="C9" s="16">
        <v>0.045175</v>
      </c>
      <c r="D9" s="16">
        <v>0.04463</v>
      </c>
      <c r="E9" s="16">
        <v>0.04583</v>
      </c>
      <c r="F9" s="16">
        <v>0.042522</v>
      </c>
      <c r="G9" s="16">
        <v>0.045068</v>
      </c>
      <c r="H9" s="16">
        <v>0.042536</v>
      </c>
      <c r="I9" s="16">
        <v>0.041057</v>
      </c>
      <c r="J9" s="16">
        <v>0.041465</v>
      </c>
      <c r="K9" s="16">
        <v>0.044954</v>
      </c>
      <c r="L9" s="16">
        <f>SUM(B9:K9)</f>
        <v>0.43811</v>
      </c>
      <c r="M9" s="16">
        <f>L9/10</f>
        <v>0.043811</v>
      </c>
      <c r="N9" s="16">
        <f>POWER(B9-$M9,2)</f>
        <v>1.127844e-06</v>
      </c>
      <c r="O9" s="16">
        <f>POWER(C9-$M9,2)</f>
        <v>1.860496e-06</v>
      </c>
      <c r="P9" s="16">
        <f>POWER(D9-$M9,2)</f>
        <v>6.70761e-07</v>
      </c>
      <c r="Q9" s="16">
        <f>POWER(E9-$M9,2)</f>
        <v>4.076361e-06</v>
      </c>
      <c r="R9" s="16">
        <f>POWER(F9-$M9,2)</f>
        <v>1.661521e-06</v>
      </c>
      <c r="S9" s="16">
        <f>POWER(G9-$M9,2)</f>
        <v>1.580049e-06</v>
      </c>
      <c r="T9" s="16">
        <f>POWER(H9-$M9,2)</f>
        <v>1.625625e-06</v>
      </c>
      <c r="U9" s="16">
        <f>POWER(I9-$M9,2)</f>
        <v>7.584516e-06</v>
      </c>
      <c r="V9" s="16">
        <f>POWER(J9-$M9,2)</f>
        <v>5.503716e-06</v>
      </c>
      <c r="W9" s="16">
        <f>POWER(K9-$M9,2)</f>
        <v>1.306449e-06</v>
      </c>
      <c r="X9" s="16">
        <f>SQRT(SUM(N9:W9)/9)</f>
        <v>0.00173196542177441</v>
      </c>
      <c r="Y9" s="16">
        <f>M9+X9/SQRT(10)*$Y$11</f>
        <v>0.0450487919568903</v>
      </c>
      <c r="Z9" s="16">
        <f>M9-X9*$Y$11/SQRT(10)</f>
        <v>0.0425732080431097</v>
      </c>
      <c r="AA9" s="16">
        <f>Y9-M9</f>
        <v>0.0012377919568903</v>
      </c>
    </row>
    <row r="10" ht="20.05" customHeight="1">
      <c r="A10" s="17"/>
      <c r="B10" s="18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 ht="80.05" customHeight="1">
      <c r="A11" s="17"/>
      <c r="B11" s="18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t="s" s="20">
        <v>29</v>
      </c>
      <c r="Y11" s="21">
        <v>2.26</v>
      </c>
      <c r="Z11" s="22"/>
      <c r="AA11" s="22"/>
    </row>
  </sheetData>
  <mergeCells count="1">
    <mergeCell ref="A1:AA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A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1" width="16.3516" style="25" customWidth="1"/>
    <col min="2" max="24" width="8.84375" style="25" customWidth="1"/>
    <col min="25" max="25" width="10.3516" style="25" customWidth="1"/>
    <col min="26" max="27" width="10.0234" style="25" customWidth="1"/>
    <col min="28" max="16384" width="16.3516" style="25" customWidth="1"/>
  </cols>
  <sheetData>
    <row r="1" ht="27.65" customHeight="1">
      <c r="A1" t="s" s="7">
        <v>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ht="56.25" customHeight="1">
      <c r="A2" s="8"/>
      <c r="B2" s="9">
        <v>1</v>
      </c>
      <c r="C2" s="9">
        <v>2</v>
      </c>
      <c r="D2" s="9">
        <v>3</v>
      </c>
      <c r="E2" s="9">
        <v>4</v>
      </c>
      <c r="F2" s="9">
        <v>5</v>
      </c>
      <c r="G2" s="9">
        <v>6</v>
      </c>
      <c r="H2" s="9">
        <v>7</v>
      </c>
      <c r="I2" s="9">
        <v>8</v>
      </c>
      <c r="J2" s="9">
        <v>9</v>
      </c>
      <c r="K2" s="9">
        <v>10</v>
      </c>
      <c r="L2" t="s" s="10">
        <v>6</v>
      </c>
      <c r="M2" t="s" s="10">
        <v>7</v>
      </c>
      <c r="N2" t="s" s="10">
        <v>8</v>
      </c>
      <c r="O2" t="s" s="10">
        <v>9</v>
      </c>
      <c r="P2" t="s" s="10">
        <v>10</v>
      </c>
      <c r="Q2" t="s" s="10">
        <v>11</v>
      </c>
      <c r="R2" t="s" s="10">
        <v>12</v>
      </c>
      <c r="S2" t="s" s="10">
        <v>13</v>
      </c>
      <c r="T2" t="s" s="10">
        <v>14</v>
      </c>
      <c r="U2" t="s" s="10">
        <v>15</v>
      </c>
      <c r="V2" t="s" s="10">
        <v>16</v>
      </c>
      <c r="W2" t="s" s="10">
        <v>17</v>
      </c>
      <c r="X2" t="s" s="10">
        <v>18</v>
      </c>
      <c r="Y2" t="s" s="10">
        <v>19</v>
      </c>
      <c r="Z2" t="s" s="10">
        <v>20</v>
      </c>
      <c r="AA2" t="s" s="10">
        <v>21</v>
      </c>
    </row>
    <row r="3" ht="20.25" customHeight="1">
      <c r="A3" t="s" s="11">
        <v>22</v>
      </c>
      <c r="B3" s="12">
        <v>0.003452</v>
      </c>
      <c r="C3" s="13">
        <v>0.002969</v>
      </c>
      <c r="D3" s="13">
        <v>0.002419</v>
      </c>
      <c r="E3" s="13">
        <v>0.002729</v>
      </c>
      <c r="F3" s="13">
        <v>0.00253</v>
      </c>
      <c r="G3" s="13">
        <v>0.004421</v>
      </c>
      <c r="H3" s="13">
        <v>0.00234</v>
      </c>
      <c r="I3" s="13">
        <v>0.002268</v>
      </c>
      <c r="J3" s="13">
        <v>0.00256</v>
      </c>
      <c r="K3" s="13">
        <v>0.002391</v>
      </c>
      <c r="L3" s="13">
        <f>SUM(B3:K3)</f>
        <v>0.028079</v>
      </c>
      <c r="M3" s="13">
        <f>L3/10</f>
        <v>0.0028079</v>
      </c>
      <c r="N3" s="13">
        <f>POWER(B3-$M3,2)</f>
        <v>0.000000414865</v>
      </c>
      <c r="O3" s="13">
        <f>POWER(C3-$M3,2)</f>
        <v>2.595321e-08</v>
      </c>
      <c r="P3" s="13">
        <f>POWER(D3-$M3,2)</f>
        <v>0.000000151243</v>
      </c>
      <c r="Q3" s="13">
        <f>POWER(E3-$M3,2)</f>
        <v>6.22521e-09</v>
      </c>
      <c r="R3" s="13">
        <f>POWER(F3-$M3,2)</f>
        <v>7.722841e-08</v>
      </c>
      <c r="S3" s="13">
        <f>POWER(G3-$M3,2)</f>
        <v>2.60209161e-06</v>
      </c>
      <c r="T3" s="13">
        <f>POWER(H3-$M3,2)</f>
        <v>0.000000218930</v>
      </c>
      <c r="U3" s="13">
        <f>POWER(I3-$M3,2)</f>
        <v>0.000000291492</v>
      </c>
      <c r="V3" s="13">
        <f>POWER(J3-$M3,2)</f>
        <v>6.145440999999999e-08</v>
      </c>
      <c r="W3" s="13">
        <f>POWER(K3-$M3,2)</f>
        <v>0.000000173806</v>
      </c>
      <c r="X3" s="13">
        <f>SQRT(SUM(N3:W3)/9)</f>
        <v>0.000668604591668349</v>
      </c>
      <c r="Y3" s="13">
        <f>M3+X3/SQRT(10)*$Y$11</f>
        <v>0.00328573482020045</v>
      </c>
      <c r="Z3" s="13">
        <f>M3-X3*$Y$11/SQRT(10)</f>
        <v>0.00233006517979955</v>
      </c>
      <c r="AA3" s="13">
        <f>Y3-M3</f>
        <v>0.00047783482020045</v>
      </c>
    </row>
    <row r="4" ht="20.05" customHeight="1">
      <c r="A4" t="s" s="14">
        <v>23</v>
      </c>
      <c r="B4" s="15">
        <v>0.003121</v>
      </c>
      <c r="C4" s="16">
        <v>0.002937</v>
      </c>
      <c r="D4" s="16">
        <v>0.002603</v>
      </c>
      <c r="E4" s="16">
        <v>0.003284</v>
      </c>
      <c r="F4" s="16">
        <v>0.00209</v>
      </c>
      <c r="G4" s="16">
        <v>0.00165</v>
      </c>
      <c r="H4" s="16">
        <v>0.002861</v>
      </c>
      <c r="I4" s="16">
        <v>0.002838</v>
      </c>
      <c r="J4" s="16">
        <v>0.003227</v>
      </c>
      <c r="K4" s="16">
        <v>0.002294</v>
      </c>
      <c r="L4" s="16">
        <f>SUM(B4:K4)</f>
        <v>0.026905</v>
      </c>
      <c r="M4" s="16">
        <f>L4/10</f>
        <v>0.0026905</v>
      </c>
      <c r="N4" s="16">
        <f>POWER(B4-$M4,2)</f>
        <v>0.000000185330</v>
      </c>
      <c r="O4" s="16">
        <f>POWER(C4-$M4,2)</f>
        <v>6.076225000000001e-08</v>
      </c>
      <c r="P4" s="16">
        <f>POWER(D4-$M4,2)</f>
        <v>7.656249999999999e-09</v>
      </c>
      <c r="Q4" s="16">
        <f>POWER(E4-$M4,2)</f>
        <v>0.000000352242</v>
      </c>
      <c r="R4" s="16">
        <f>POWER(F4-$M4,2)</f>
        <v>0.000000360600</v>
      </c>
      <c r="S4" s="16">
        <f>POWER(G4-$M4,2)</f>
        <v>1.08264025e-06</v>
      </c>
      <c r="T4" s="16">
        <f>POWER(H4-$M4,2)</f>
        <v>2.907025e-08</v>
      </c>
      <c r="U4" s="16">
        <f>POWER(I4-$M4,2)</f>
        <v>2.175625e-08</v>
      </c>
      <c r="V4" s="16">
        <f>POWER(J4-$M4,2)</f>
        <v>0.000000287832</v>
      </c>
      <c r="W4" s="16">
        <f>POWER(K4-$M4,2)</f>
        <v>0.000000157212</v>
      </c>
      <c r="X4" s="16">
        <f>SQRT(SUM(N4:W4)/9)</f>
        <v>0.000531779246178964</v>
      </c>
      <c r="Y4" s="16">
        <f>M4+X4/SQRT(10)*$Y$11</f>
        <v>0.00307054920045524</v>
      </c>
      <c r="Z4" s="16">
        <f>M4-X4*$Y$11/SQRT(10)</f>
        <v>0.00231045079954476</v>
      </c>
      <c r="AA4" s="16">
        <f>Y4-M4</f>
        <v>0.00038004920045524</v>
      </c>
    </row>
    <row r="5" ht="20.05" customHeight="1">
      <c r="A5" t="s" s="14">
        <v>24</v>
      </c>
      <c r="B5" s="15">
        <v>0.002478</v>
      </c>
      <c r="C5" s="16">
        <v>0.001054</v>
      </c>
      <c r="D5" s="16">
        <v>0.000953</v>
      </c>
      <c r="E5" s="16">
        <v>0.001264</v>
      </c>
      <c r="F5" s="16">
        <v>0.001373</v>
      </c>
      <c r="G5" s="16">
        <v>0.001608</v>
      </c>
      <c r="H5" s="16">
        <v>0.001096</v>
      </c>
      <c r="I5" s="16">
        <v>0.001485</v>
      </c>
      <c r="J5" s="16">
        <v>0.001272</v>
      </c>
      <c r="K5" s="16">
        <v>0.000942</v>
      </c>
      <c r="L5" s="16">
        <f>SUM(B5:K5)</f>
        <v>0.013525</v>
      </c>
      <c r="M5" s="16">
        <f>L5/10</f>
        <v>0.0013525</v>
      </c>
      <c r="N5" s="16">
        <f>POWER(B5-$M5,2)</f>
        <v>1.26675025e-06</v>
      </c>
      <c r="O5" s="16">
        <f>POWER(C5-$M5,2)</f>
        <v>8.910225000000001e-08</v>
      </c>
      <c r="P5" s="16">
        <f>POWER(D5-$M5,2)</f>
        <v>0.000000159600</v>
      </c>
      <c r="Q5" s="16">
        <f>POWER(E5-$M5,2)</f>
        <v>7.832250000000001e-09</v>
      </c>
      <c r="R5" s="16">
        <f>POWER(F5-$M5,2)</f>
        <v>4.2025e-10</v>
      </c>
      <c r="S5" s="16">
        <f>POWER(G5-$M5,2)</f>
        <v>6.528025000000001e-08</v>
      </c>
      <c r="T5" s="16">
        <f>POWER(H5-$M5,2)</f>
        <v>6.579225e-08</v>
      </c>
      <c r="U5" s="16">
        <f>POWER(I5-$M5,2)</f>
        <v>1.755625e-08</v>
      </c>
      <c r="V5" s="16">
        <f>POWER(J5-$M5,2)</f>
        <v>6.48025e-09</v>
      </c>
      <c r="W5" s="16">
        <f>POWER(K5-$M5,2)</f>
        <v>0.000000168510</v>
      </c>
      <c r="X5" s="16">
        <f>SQRT(SUM(N5:W5)/9)</f>
        <v>0.000453054387218331</v>
      </c>
      <c r="Y5" s="16">
        <f>M5+X5/SQRT(10)*$Y$11</f>
        <v>0.00167628653146445</v>
      </c>
      <c r="Z5" s="16">
        <f>M5-X5*$Y$11/SQRT(10)</f>
        <v>0.00102871346853555</v>
      </c>
      <c r="AA5" s="16">
        <f>Y5-M5</f>
        <v>0.00032378653146445</v>
      </c>
    </row>
    <row r="6" ht="20.05" customHeight="1">
      <c r="A6" t="s" s="14">
        <v>25</v>
      </c>
      <c r="B6" s="15">
        <v>0.001357</v>
      </c>
      <c r="C6" s="16">
        <v>0.001185</v>
      </c>
      <c r="D6" s="16">
        <v>0.000907</v>
      </c>
      <c r="E6" s="16">
        <v>0.001054</v>
      </c>
      <c r="F6" s="16">
        <v>0.001776</v>
      </c>
      <c r="G6" s="16">
        <v>0.001415</v>
      </c>
      <c r="H6" s="16">
        <v>0.000901</v>
      </c>
      <c r="I6" s="16">
        <v>0.001098</v>
      </c>
      <c r="J6" s="16">
        <v>0.001341</v>
      </c>
      <c r="K6" s="16">
        <v>0.0009120000000000001</v>
      </c>
      <c r="L6" s="16">
        <f>SUM(B6:K6)</f>
        <v>0.011946</v>
      </c>
      <c r="M6" s="16">
        <f>L6/10</f>
        <v>0.0011946</v>
      </c>
      <c r="N6" s="16">
        <f>POWER(B6-$M6,2)</f>
        <v>2.637376e-08</v>
      </c>
      <c r="O6" s="16">
        <f>POWER(C6-$M6,2)</f>
        <v>9.216e-11</v>
      </c>
      <c r="P6" s="16">
        <f>POWER(D6-$M6,2)</f>
        <v>8.271376e-08</v>
      </c>
      <c r="Q6" s="16">
        <f>POWER(E6-$M6,2)</f>
        <v>1.976836e-08</v>
      </c>
      <c r="R6" s="16">
        <f>POWER(F6-$M6,2)</f>
        <v>0.000000338026</v>
      </c>
      <c r="S6" s="16">
        <f>POWER(G6-$M6,2)</f>
        <v>4.857616e-08</v>
      </c>
      <c r="T6" s="16">
        <f>POWER(H6-$M6,2)</f>
        <v>8.620096000000001e-08</v>
      </c>
      <c r="U6" s="16">
        <f>POWER(I6-$M6,2)</f>
        <v>9.331560000000001e-09</v>
      </c>
      <c r="V6" s="16">
        <f>POWER(J6-$M6,2)</f>
        <v>2.143296e-08</v>
      </c>
      <c r="W6" s="16">
        <f>POWER(K6-$M6,2)</f>
        <v>7.986275999999999e-08</v>
      </c>
      <c r="X6" s="16">
        <f>SQRT(SUM(N6:W6)/9)</f>
        <v>0.000281341706036548</v>
      </c>
      <c r="Y6" s="16">
        <f>M6+X6/SQRT(10)*$Y$11</f>
        <v>0.00139566781376331</v>
      </c>
      <c r="Z6" s="16">
        <f>M6-X6*$Y$11/SQRT(10)</f>
        <v>0.0009935321862366939</v>
      </c>
      <c r="AA6" s="16">
        <f>Y6-M6</f>
        <v>0.00020106781376331</v>
      </c>
    </row>
    <row r="7" ht="20.05" customHeight="1">
      <c r="A7" t="s" s="14">
        <v>26</v>
      </c>
      <c r="B7" s="15">
        <v>0.001803</v>
      </c>
      <c r="C7" s="16">
        <v>0.002192</v>
      </c>
      <c r="D7" s="16">
        <v>0.001082</v>
      </c>
      <c r="E7" s="16">
        <v>0.001538</v>
      </c>
      <c r="F7" s="16">
        <v>0.002192</v>
      </c>
      <c r="G7" s="16">
        <v>0.001502</v>
      </c>
      <c r="H7" s="16">
        <v>0.001169</v>
      </c>
      <c r="I7" s="16">
        <v>0.001096</v>
      </c>
      <c r="J7" s="16">
        <v>0.001593</v>
      </c>
      <c r="K7" s="16">
        <v>0.001099</v>
      </c>
      <c r="L7" s="16">
        <f>SUM(B7:K7)</f>
        <v>0.015266</v>
      </c>
      <c r="M7" s="16">
        <f>L7/10</f>
        <v>0.0015266</v>
      </c>
      <c r="N7" s="16">
        <f>POWER(B7-$M7,2)</f>
        <v>7.639696000000001e-08</v>
      </c>
      <c r="O7" s="16">
        <f>POWER(C7-$M7,2)</f>
        <v>0.000000442757</v>
      </c>
      <c r="P7" s="16">
        <f>POWER(D7-$M7,2)</f>
        <v>0.000000197669</v>
      </c>
      <c r="Q7" s="16">
        <f>POWER(E7-$M7,2)</f>
        <v>1.2996e-10</v>
      </c>
      <c r="R7" s="16">
        <f>POWER(F7-$M7,2)</f>
        <v>0.000000442757</v>
      </c>
      <c r="S7" s="16">
        <f>POWER(G7-$M7,2)</f>
        <v>6.0516e-10</v>
      </c>
      <c r="T7" s="16">
        <f>POWER(H7-$M7,2)</f>
        <v>0.000000127878</v>
      </c>
      <c r="U7" s="16">
        <f>POWER(I7-$M7,2)</f>
        <v>0.000000185416</v>
      </c>
      <c r="V7" s="16">
        <f>POWER(J7-$M7,2)</f>
        <v>4.40896e-09</v>
      </c>
      <c r="W7" s="16">
        <f>POWER(K7-$M7,2)</f>
        <v>0.000000182842</v>
      </c>
      <c r="X7" s="16">
        <f>SQRT(SUM(N7:W7)/9)</f>
        <v>0.000429581243124562</v>
      </c>
      <c r="Y7" s="16">
        <f>M7+X7/SQRT(10)*$Y$11</f>
        <v>0.0018336108680494</v>
      </c>
      <c r="Z7" s="16">
        <f>M7-X7*$Y$11/SQRT(10)</f>
        <v>0.0012195891319506</v>
      </c>
      <c r="AA7" s="16">
        <f>Y7-M7</f>
        <v>0.0003070108680494</v>
      </c>
    </row>
    <row r="8" ht="20.05" customHeight="1">
      <c r="A8" t="s" s="14">
        <v>27</v>
      </c>
      <c r="B8" s="15">
        <v>0.004096</v>
      </c>
      <c r="C8" s="16">
        <v>0.002893</v>
      </c>
      <c r="D8" s="16">
        <v>0.002443</v>
      </c>
      <c r="E8" s="16">
        <v>0.002256</v>
      </c>
      <c r="F8" s="16">
        <v>0.002976</v>
      </c>
      <c r="G8" s="16">
        <v>0.002506</v>
      </c>
      <c r="H8" s="16">
        <v>0.001874</v>
      </c>
      <c r="I8" s="16">
        <v>0.001811</v>
      </c>
      <c r="J8" s="16">
        <v>0.002828</v>
      </c>
      <c r="K8" s="16">
        <v>0.001902</v>
      </c>
      <c r="L8" s="16">
        <f>SUM(B8:K8)</f>
        <v>0.025585</v>
      </c>
      <c r="M8" s="16">
        <f>L8/10</f>
        <v>0.0025585</v>
      </c>
      <c r="N8" s="16">
        <f>POWER(B8-$M8,2)</f>
        <v>2.36390625e-06</v>
      </c>
      <c r="O8" s="16">
        <f>POWER(C8-$M8,2)</f>
        <v>0.000000111890</v>
      </c>
      <c r="P8" s="16">
        <f>POWER(D8-$M8,2)</f>
        <v>1.334025e-08</v>
      </c>
      <c r="Q8" s="16">
        <f>POWER(E8-$M8,2)</f>
        <v>9.150625000000001e-08</v>
      </c>
      <c r="R8" s="16">
        <f>POWER(F8-$M8,2)</f>
        <v>0.000000174306</v>
      </c>
      <c r="S8" s="16">
        <f>POWER(G8-$M8,2)</f>
        <v>2.75625e-09</v>
      </c>
      <c r="T8" s="16">
        <f>POWER(H8-$M8,2)</f>
        <v>0.000000468540</v>
      </c>
      <c r="U8" s="16">
        <f>POWER(I8-$M8,2)</f>
        <v>0.000000558756</v>
      </c>
      <c r="V8" s="16">
        <f>POWER(J8-$M8,2)</f>
        <v>7.263025e-08</v>
      </c>
      <c r="W8" s="16">
        <f>POWER(K8-$M8,2)</f>
        <v>0.000000430992</v>
      </c>
      <c r="X8" s="16">
        <f>SQRT(SUM(N8:W8)/9)</f>
        <v>0.000690299814090467</v>
      </c>
      <c r="Y8" s="16">
        <f>M8+X8/SQRT(10)*$Y$11</f>
        <v>0.00305183984788717</v>
      </c>
      <c r="Z8" s="16">
        <f>M8-X8*$Y$11/SQRT(10)</f>
        <v>0.00206516015211283</v>
      </c>
      <c r="AA8" s="16">
        <f>Y8-M8</f>
        <v>0.00049333984788717</v>
      </c>
    </row>
    <row r="9" ht="20.05" customHeight="1">
      <c r="A9" t="s" s="14">
        <v>28</v>
      </c>
      <c r="B9" s="15">
        <v>0.008569</v>
      </c>
      <c r="C9" s="16">
        <v>0.005108</v>
      </c>
      <c r="D9" s="16">
        <v>0.00448</v>
      </c>
      <c r="E9" s="16">
        <v>0.004978</v>
      </c>
      <c r="F9" s="16">
        <v>0.005747</v>
      </c>
      <c r="G9" s="16">
        <v>0.005953</v>
      </c>
      <c r="H9" s="16">
        <v>0.004397</v>
      </c>
      <c r="I9" s="16">
        <v>0.004011</v>
      </c>
      <c r="J9" s="16">
        <v>0.005667</v>
      </c>
      <c r="K9" s="16">
        <v>0.004538</v>
      </c>
      <c r="L9" s="16">
        <f>SUM(B9:K9)</f>
        <v>0.053448</v>
      </c>
      <c r="M9" s="16">
        <f>L9/10</f>
        <v>0.0053448</v>
      </c>
      <c r="N9" s="16">
        <f>POWER(B9-$M9,2)</f>
        <v>1.039546564e-05</v>
      </c>
      <c r="O9" s="16">
        <f>POWER(C9-$M9,2)</f>
        <v>5.607424e-08</v>
      </c>
      <c r="P9" s="16">
        <f>POWER(D9-$M9,2)</f>
        <v>0.000000747879</v>
      </c>
      <c r="Q9" s="16">
        <f>POWER(E9-$M9,2)</f>
        <v>0.000000134542</v>
      </c>
      <c r="R9" s="16">
        <f>POWER(F9-$M9,2)</f>
        <v>0.000000161765</v>
      </c>
      <c r="S9" s="16">
        <f>POWER(G9-$M9,2)</f>
        <v>0.000000369907</v>
      </c>
      <c r="T9" s="16">
        <f>POWER(H9-$M9,2)</f>
        <v>0.000000898325</v>
      </c>
      <c r="U9" s="16">
        <f>POWER(I9-$M9,2)</f>
        <v>1.77902244e-06</v>
      </c>
      <c r="V9" s="16">
        <f>POWER(J9-$M9,2)</f>
        <v>0.000000103813</v>
      </c>
      <c r="W9" s="16">
        <f>POWER(K9-$M9,2)</f>
        <v>0.000000650926</v>
      </c>
      <c r="X9" s="16">
        <f>SQRT(SUM(N9:W9)/9)</f>
        <v>0.00130374331147746</v>
      </c>
      <c r="Y9" s="16">
        <f>M9+X9/SQRT(10)*$Y$11</f>
        <v>0.00627655242675628</v>
      </c>
      <c r="Z9" s="16">
        <f>M9-X9*$Y$11/SQRT(10)</f>
        <v>0.00441304757324372</v>
      </c>
      <c r="AA9" s="16">
        <f>Y9-M9</f>
        <v>0.00093175242675628</v>
      </c>
    </row>
    <row r="10" ht="20.05" customHeight="1">
      <c r="A10" s="17"/>
      <c r="B10" s="18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</row>
    <row r="11" ht="80.05" customHeight="1">
      <c r="A11" s="17"/>
      <c r="B11" s="18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t="s" s="20">
        <v>29</v>
      </c>
      <c r="Y11" s="21">
        <v>2.26</v>
      </c>
      <c r="Z11" s="22"/>
      <c r="AA11" s="22"/>
    </row>
  </sheetData>
  <mergeCells count="1">
    <mergeCell ref="A1:AA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